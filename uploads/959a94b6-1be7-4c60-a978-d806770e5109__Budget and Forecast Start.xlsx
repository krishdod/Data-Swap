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oni\Downloads\"/>
    </mc:Choice>
  </mc:AlternateContent>
  <xr:revisionPtr revIDLastSave="0" documentId="13_ncr:1_{85CA3085-510E-4496-86A7-820A2F46AB5C}" xr6:coauthVersionLast="47" xr6:coauthVersionMax="47" xr10:uidLastSave="{00000000-0000-0000-0000-000000000000}"/>
  <bookViews>
    <workbookView xWindow="-120" yWindow="-120" windowWidth="20730" windowHeight="11040" activeTab="1" xr2:uid="{D39EE176-0C1D-3441-8EB4-571125E77837}"/>
  </bookViews>
  <sheets>
    <sheet name="Actual Expenses" sheetId="10" r:id="rId1"/>
    <sheet name="Forecast" sheetId="6" r:id="rId2"/>
    <sheet name="Income Statement" sheetId="8" r:id="rId3"/>
    <sheet name="Visual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6" l="1"/>
  <c r="J7" i="6"/>
  <c r="K7" i="6"/>
  <c r="L7" i="6"/>
  <c r="M7" i="6"/>
  <c r="N7" i="6"/>
  <c r="O7" i="6"/>
  <c r="P7" i="6"/>
  <c r="Q7" i="6"/>
  <c r="R7" i="6"/>
  <c r="S7" i="6"/>
  <c r="T7" i="6"/>
  <c r="I8" i="6"/>
  <c r="J8" i="6"/>
  <c r="K8" i="6"/>
  <c r="L8" i="6"/>
  <c r="M8" i="6"/>
  <c r="N8" i="6"/>
  <c r="O8" i="6"/>
  <c r="P8" i="6"/>
  <c r="Q8" i="6"/>
  <c r="R8" i="6"/>
  <c r="S8" i="6"/>
  <c r="T8" i="6"/>
  <c r="I9" i="6"/>
  <c r="J9" i="6"/>
  <c r="K9" i="6"/>
  <c r="L9" i="6"/>
  <c r="M9" i="6"/>
  <c r="N9" i="6"/>
  <c r="O9" i="6"/>
  <c r="P9" i="6"/>
  <c r="Q9" i="6"/>
  <c r="R9" i="6"/>
  <c r="S9" i="6"/>
  <c r="T9" i="6"/>
  <c r="I10" i="6"/>
  <c r="J10" i="6"/>
  <c r="K10" i="6"/>
  <c r="L10" i="6"/>
  <c r="M10" i="6"/>
  <c r="N10" i="6"/>
  <c r="O10" i="6"/>
  <c r="P10" i="6"/>
  <c r="Q10" i="6"/>
  <c r="R10" i="6"/>
  <c r="S10" i="6"/>
  <c r="T10" i="6"/>
  <c r="I11" i="6"/>
  <c r="J11" i="6"/>
  <c r="K11" i="6"/>
  <c r="L11" i="6"/>
  <c r="M11" i="6"/>
  <c r="N11" i="6"/>
  <c r="O11" i="6"/>
  <c r="P11" i="6"/>
  <c r="Q11" i="6"/>
  <c r="R11" i="6"/>
  <c r="S11" i="6"/>
  <c r="T11" i="6"/>
  <c r="I12" i="6"/>
  <c r="J12" i="6"/>
  <c r="K12" i="6"/>
  <c r="L12" i="6"/>
  <c r="M12" i="6"/>
  <c r="N12" i="6"/>
  <c r="O12" i="6"/>
  <c r="P12" i="6"/>
  <c r="Q12" i="6"/>
  <c r="R12" i="6"/>
  <c r="S12" i="6"/>
  <c r="T12" i="6"/>
  <c r="I13" i="6"/>
  <c r="J13" i="6"/>
  <c r="K13" i="6"/>
  <c r="L13" i="6"/>
  <c r="M13" i="6"/>
  <c r="N13" i="6"/>
  <c r="O13" i="6"/>
  <c r="P13" i="6"/>
  <c r="Q13" i="6"/>
  <c r="R13" i="6"/>
  <c r="S13" i="6"/>
  <c r="T13" i="6"/>
  <c r="J6" i="6"/>
  <c r="K6" i="6"/>
  <c r="L6" i="6"/>
  <c r="M6" i="6"/>
  <c r="N6" i="6"/>
  <c r="O6" i="6"/>
  <c r="P6" i="6"/>
  <c r="Q6" i="6"/>
  <c r="R6" i="6"/>
  <c r="S6" i="6"/>
  <c r="T6" i="6"/>
  <c r="I6" i="6"/>
  <c r="B11" i="8" a="1"/>
  <c r="B11" i="8" s="1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I29" i="6"/>
  <c r="I30" i="6"/>
  <c r="I31" i="6"/>
  <c r="I32" i="6"/>
  <c r="I33" i="6"/>
  <c r="I34" i="6"/>
  <c r="I35" i="6"/>
  <c r="J29" i="6"/>
  <c r="J30" i="6"/>
  <c r="J31" i="6"/>
  <c r="J32" i="6"/>
  <c r="J33" i="6"/>
  <c r="J34" i="6"/>
  <c r="J35" i="6"/>
  <c r="K29" i="6"/>
  <c r="K30" i="6"/>
  <c r="K31" i="6"/>
  <c r="K32" i="6"/>
  <c r="K33" i="6"/>
  <c r="K34" i="6"/>
  <c r="K35" i="6"/>
  <c r="L29" i="6"/>
  <c r="L32" i="6"/>
  <c r="L33" i="6"/>
  <c r="L34" i="6"/>
  <c r="I28" i="6"/>
  <c r="M29" i="6"/>
  <c r="L30" i="6"/>
  <c r="M30" i="6"/>
  <c r="M32" i="6"/>
  <c r="M33" i="6"/>
  <c r="M34" i="6"/>
  <c r="N29" i="6"/>
  <c r="N30" i="6"/>
  <c r="L31" i="6"/>
  <c r="N32" i="6"/>
  <c r="N33" i="6"/>
  <c r="N34" i="6"/>
  <c r="L35" i="6"/>
  <c r="O29" i="6"/>
  <c r="O32" i="6"/>
  <c r="O33" i="6"/>
  <c r="O34" i="6"/>
  <c r="O30" i="6"/>
  <c r="P29" i="6"/>
  <c r="M31" i="6"/>
  <c r="P32" i="6"/>
  <c r="P33" i="6"/>
  <c r="P34" i="6"/>
  <c r="M35" i="6"/>
  <c r="P30" i="6"/>
  <c r="Q29" i="6"/>
  <c r="N31" i="6"/>
  <c r="Q32" i="6"/>
  <c r="Q33" i="6"/>
  <c r="Q34" i="6"/>
  <c r="N35" i="6"/>
  <c r="Q30" i="6"/>
  <c r="R30" i="6"/>
  <c r="R29" i="6"/>
  <c r="O31" i="6"/>
  <c r="P31" i="6"/>
  <c r="Q31" i="6"/>
  <c r="R32" i="6"/>
  <c r="R33" i="6"/>
  <c r="R34" i="6"/>
  <c r="O35" i="6"/>
  <c r="P35" i="6"/>
  <c r="Q35" i="6"/>
  <c r="S30" i="6"/>
  <c r="T30" i="6"/>
  <c r="S29" i="6"/>
  <c r="R31" i="6"/>
  <c r="S32" i="6"/>
  <c r="S33" i="6"/>
  <c r="S34" i="6"/>
  <c r="R35" i="6"/>
  <c r="S31" i="6"/>
  <c r="T31" i="6"/>
  <c r="S35" i="6"/>
  <c r="T35" i="6"/>
  <c r="J28" i="6"/>
  <c r="K28" i="6"/>
  <c r="L28" i="6"/>
  <c r="M28" i="6"/>
  <c r="N28" i="6"/>
  <c r="O28" i="6"/>
  <c r="P28" i="6"/>
  <c r="Q28" i="6"/>
  <c r="T29" i="6"/>
  <c r="T32" i="6"/>
  <c r="T33" i="6"/>
  <c r="T34" i="6"/>
  <c r="R28" i="6"/>
  <c r="S28" i="6"/>
  <c r="T28" i="6"/>
  <c r="L11" i="8" l="1"/>
  <c r="L30" i="8" s="1"/>
  <c r="L31" i="8" s="1"/>
  <c r="H11" i="8"/>
  <c r="H30" i="8" s="1"/>
  <c r="H31" i="8" s="1"/>
  <c r="H6" i="8" s="1"/>
  <c r="D11" i="8"/>
  <c r="D30" i="8" s="1"/>
  <c r="D31" i="8" s="1"/>
  <c r="D35" i="8" s="1"/>
  <c r="N11" i="8"/>
  <c r="N30" i="8" s="1"/>
  <c r="N31" i="8" s="1"/>
  <c r="J11" i="8"/>
  <c r="J30" i="8" s="1"/>
  <c r="J31" i="8" s="1"/>
  <c r="F11" i="8"/>
  <c r="F30" i="8" s="1"/>
  <c r="F31" i="8" s="1"/>
  <c r="M11" i="8"/>
  <c r="M30" i="8" s="1"/>
  <c r="M31" i="8" s="1"/>
  <c r="M35" i="8" s="1"/>
  <c r="I11" i="8"/>
  <c r="I30" i="8" s="1"/>
  <c r="I31" i="8" s="1"/>
  <c r="I35" i="8" s="1"/>
  <c r="E11" i="8"/>
  <c r="E30" i="8" s="1"/>
  <c r="E31" i="8" s="1"/>
  <c r="E6" i="8" s="1"/>
  <c r="K13" i="8"/>
  <c r="C13" i="8"/>
  <c r="K12" i="8"/>
  <c r="C12" i="8"/>
  <c r="C11" i="8"/>
  <c r="C30" i="8" s="1"/>
  <c r="C31" i="8" s="1"/>
  <c r="C6" i="8" s="1"/>
  <c r="C3" i="9" s="1"/>
  <c r="K11" i="8"/>
  <c r="K30" i="8" s="1"/>
  <c r="K31" i="8" s="1"/>
  <c r="K35" i="8" s="1"/>
  <c r="G11" i="8"/>
  <c r="G30" i="8" s="1"/>
  <c r="G31" i="8" s="1"/>
  <c r="G6" i="8" s="1"/>
  <c r="N14" i="8"/>
  <c r="J14" i="8"/>
  <c r="F14" i="8"/>
  <c r="N13" i="8"/>
  <c r="J13" i="8"/>
  <c r="F13" i="8"/>
  <c r="N12" i="8"/>
  <c r="J12" i="8"/>
  <c r="F12" i="8"/>
  <c r="M14" i="8"/>
  <c r="I14" i="8"/>
  <c r="E14" i="8"/>
  <c r="M13" i="8"/>
  <c r="I13" i="8"/>
  <c r="E13" i="8"/>
  <c r="M12" i="8"/>
  <c r="I12" i="8"/>
  <c r="E12" i="8"/>
  <c r="L14" i="8"/>
  <c r="H14" i="8"/>
  <c r="D14" i="8"/>
  <c r="L13" i="8"/>
  <c r="H13" i="8"/>
  <c r="D13" i="8"/>
  <c r="L12" i="8"/>
  <c r="H12" i="8"/>
  <c r="D12" i="8"/>
  <c r="K14" i="8"/>
  <c r="G14" i="8"/>
  <c r="C14" i="8"/>
  <c r="G13" i="8"/>
  <c r="G12" i="8"/>
  <c r="L35" i="8"/>
  <c r="L6" i="8"/>
  <c r="H35" i="8"/>
  <c r="G35" i="8"/>
  <c r="E35" i="8"/>
  <c r="T39" i="6"/>
  <c r="S39" i="6"/>
  <c r="R39" i="6"/>
  <c r="T45" i="6"/>
  <c r="T44" i="6"/>
  <c r="T43" i="6"/>
  <c r="T40" i="6"/>
  <c r="Q39" i="6"/>
  <c r="P39" i="6"/>
  <c r="O39" i="6"/>
  <c r="N39" i="6"/>
  <c r="M39" i="6"/>
  <c r="L39" i="6"/>
  <c r="K39" i="6"/>
  <c r="J39" i="6"/>
  <c r="T46" i="6"/>
  <c r="S46" i="6"/>
  <c r="T42" i="6"/>
  <c r="S42" i="6"/>
  <c r="R46" i="6"/>
  <c r="S45" i="6"/>
  <c r="S44" i="6"/>
  <c r="S43" i="6"/>
  <c r="R42" i="6"/>
  <c r="S40" i="6"/>
  <c r="T41" i="6"/>
  <c r="S41" i="6"/>
  <c r="Q46" i="6"/>
  <c r="P46" i="6"/>
  <c r="O46" i="6"/>
  <c r="R45" i="6"/>
  <c r="R44" i="6"/>
  <c r="R43" i="6"/>
  <c r="Q42" i="6"/>
  <c r="P42" i="6"/>
  <c r="O42" i="6"/>
  <c r="R40" i="6"/>
  <c r="R41" i="6"/>
  <c r="Q41" i="6"/>
  <c r="N46" i="6"/>
  <c r="Q45" i="6"/>
  <c r="Q44" i="6"/>
  <c r="Q43" i="6"/>
  <c r="N42" i="6"/>
  <c r="Q40" i="6"/>
  <c r="P41" i="6"/>
  <c r="M46" i="6"/>
  <c r="P45" i="6"/>
  <c r="P44" i="6"/>
  <c r="P43" i="6"/>
  <c r="M42" i="6"/>
  <c r="P40" i="6"/>
  <c r="O41" i="6"/>
  <c r="O45" i="6"/>
  <c r="O44" i="6"/>
  <c r="O43" i="6"/>
  <c r="O40" i="6"/>
  <c r="L46" i="6"/>
  <c r="N45" i="6"/>
  <c r="N44" i="6"/>
  <c r="N43" i="6"/>
  <c r="L42" i="6"/>
  <c r="N41" i="6"/>
  <c r="N40" i="6"/>
  <c r="M45" i="6"/>
  <c r="M44" i="6"/>
  <c r="M43" i="6"/>
  <c r="M41" i="6"/>
  <c r="L41" i="6"/>
  <c r="M40" i="6"/>
  <c r="I39" i="6"/>
  <c r="L45" i="6"/>
  <c r="L44" i="6"/>
  <c r="L43" i="6"/>
  <c r="L40" i="6"/>
  <c r="K46" i="6"/>
  <c r="K45" i="6"/>
  <c r="K44" i="6"/>
  <c r="K43" i="6"/>
  <c r="K42" i="6"/>
  <c r="K41" i="6"/>
  <c r="K40" i="6"/>
  <c r="J46" i="6"/>
  <c r="J45" i="6"/>
  <c r="J44" i="6"/>
  <c r="J43" i="6"/>
  <c r="J42" i="6"/>
  <c r="J41" i="6"/>
  <c r="J40" i="6"/>
  <c r="I46" i="6"/>
  <c r="I45" i="6"/>
  <c r="I44" i="6"/>
  <c r="I43" i="6"/>
  <c r="I42" i="6"/>
  <c r="I41" i="6"/>
  <c r="I40" i="6"/>
  <c r="T17" i="6"/>
  <c r="S17" i="6"/>
  <c r="R17" i="6"/>
  <c r="T23" i="6"/>
  <c r="T22" i="6"/>
  <c r="T21" i="6"/>
  <c r="T18" i="6"/>
  <c r="Q17" i="6"/>
  <c r="P17" i="6"/>
  <c r="O17" i="6"/>
  <c r="N17" i="6"/>
  <c r="M17" i="6"/>
  <c r="L17" i="6"/>
  <c r="K17" i="6"/>
  <c r="J17" i="6"/>
  <c r="T24" i="6"/>
  <c r="S24" i="6"/>
  <c r="T20" i="6"/>
  <c r="S20" i="6"/>
  <c r="R24" i="6"/>
  <c r="S23" i="6"/>
  <c r="S22" i="6"/>
  <c r="S21" i="6"/>
  <c r="R20" i="6"/>
  <c r="S18" i="6"/>
  <c r="T19" i="6"/>
  <c r="S19" i="6"/>
  <c r="Q24" i="6"/>
  <c r="P24" i="6"/>
  <c r="O24" i="6"/>
  <c r="R23" i="6"/>
  <c r="R22" i="6"/>
  <c r="R21" i="6"/>
  <c r="Q20" i="6"/>
  <c r="P20" i="6"/>
  <c r="O20" i="6"/>
  <c r="R18" i="6"/>
  <c r="R19" i="6"/>
  <c r="Q19" i="6"/>
  <c r="N24" i="6"/>
  <c r="Q23" i="6"/>
  <c r="Q22" i="6"/>
  <c r="Q21" i="6"/>
  <c r="N20" i="6"/>
  <c r="Q18" i="6"/>
  <c r="P19" i="6"/>
  <c r="M24" i="6"/>
  <c r="P23" i="6"/>
  <c r="P22" i="6"/>
  <c r="P21" i="6"/>
  <c r="M20" i="6"/>
  <c r="P18" i="6"/>
  <c r="O19" i="6"/>
  <c r="O23" i="6"/>
  <c r="O22" i="6"/>
  <c r="O21" i="6"/>
  <c r="O18" i="6"/>
  <c r="L24" i="6"/>
  <c r="N23" i="6"/>
  <c r="N22" i="6"/>
  <c r="N21" i="6"/>
  <c r="L20" i="6"/>
  <c r="N19" i="6"/>
  <c r="N18" i="6"/>
  <c r="M23" i="6"/>
  <c r="M22" i="6"/>
  <c r="M21" i="6"/>
  <c r="M19" i="6"/>
  <c r="L19" i="6"/>
  <c r="M18" i="6"/>
  <c r="L23" i="6"/>
  <c r="L22" i="6"/>
  <c r="L21" i="6"/>
  <c r="L18" i="6"/>
  <c r="K24" i="6"/>
  <c r="K23" i="6"/>
  <c r="K22" i="6"/>
  <c r="K21" i="6"/>
  <c r="K20" i="6"/>
  <c r="K19" i="6"/>
  <c r="K18" i="6"/>
  <c r="J24" i="6"/>
  <c r="J23" i="6"/>
  <c r="J22" i="6"/>
  <c r="J21" i="6"/>
  <c r="J20" i="6"/>
  <c r="J19" i="6"/>
  <c r="J18" i="6"/>
  <c r="I24" i="6"/>
  <c r="I23" i="6"/>
  <c r="I22" i="6"/>
  <c r="I21" i="6"/>
  <c r="I20" i="6"/>
  <c r="I19" i="6"/>
  <c r="I18" i="6"/>
  <c r="I17" i="6"/>
  <c r="J15" i="8" l="1"/>
  <c r="D6" i="8"/>
  <c r="I6" i="8"/>
  <c r="I15" i="8"/>
  <c r="N15" i="8"/>
  <c r="D15" i="8"/>
  <c r="M6" i="8"/>
  <c r="F15" i="8"/>
  <c r="K15" i="8"/>
  <c r="K6" i="8"/>
  <c r="G15" i="8"/>
  <c r="M15" i="8"/>
  <c r="E15" i="8"/>
  <c r="C15" i="8"/>
  <c r="C35" i="8"/>
  <c r="C38" i="8" s="1"/>
  <c r="C18" i="8" s="1"/>
  <c r="H15" i="8"/>
  <c r="L15" i="8"/>
  <c r="E38" i="8"/>
  <c r="E18" i="8" s="1"/>
  <c r="E7" i="8"/>
  <c r="E8" i="8" s="1"/>
  <c r="K38" i="8"/>
  <c r="K18" i="8" s="1"/>
  <c r="K7" i="8"/>
  <c r="J35" i="8"/>
  <c r="J6" i="8"/>
  <c r="N35" i="8"/>
  <c r="N6" i="8"/>
  <c r="L38" i="8"/>
  <c r="L18" i="8" s="1"/>
  <c r="L7" i="8"/>
  <c r="L8" i="8" s="1"/>
  <c r="F35" i="8"/>
  <c r="F6" i="8"/>
  <c r="D38" i="8"/>
  <c r="D18" i="8" s="1"/>
  <c r="D7" i="8"/>
  <c r="D8" i="8" s="1"/>
  <c r="G38" i="8"/>
  <c r="G18" i="8" s="1"/>
  <c r="G7" i="8"/>
  <c r="G8" i="8" s="1"/>
  <c r="I38" i="8"/>
  <c r="I18" i="8" s="1"/>
  <c r="I7" i="8"/>
  <c r="I8" i="8" s="1"/>
  <c r="H38" i="8"/>
  <c r="H18" i="8" s="1"/>
  <c r="H7" i="8"/>
  <c r="H8" i="8" s="1"/>
  <c r="M38" i="8"/>
  <c r="M18" i="8" s="1"/>
  <c r="M7" i="8"/>
  <c r="D3" i="9"/>
  <c r="D16" i="8" l="1"/>
  <c r="D19" i="8" s="1"/>
  <c r="H16" i="8"/>
  <c r="H19" i="8" s="1"/>
  <c r="H21" i="8" s="1"/>
  <c r="H22" i="8" s="1"/>
  <c r="I16" i="8"/>
  <c r="I19" i="8" s="1"/>
  <c r="L16" i="8"/>
  <c r="L19" i="8" s="1"/>
  <c r="E16" i="8"/>
  <c r="M8" i="8"/>
  <c r="M16" i="8" s="1"/>
  <c r="M19" i="8" s="1"/>
  <c r="M21" i="8" s="1"/>
  <c r="M22" i="8" s="1"/>
  <c r="G16" i="8"/>
  <c r="G19" i="8" s="1"/>
  <c r="G21" i="8" s="1"/>
  <c r="G22" i="8" s="1"/>
  <c r="C7" i="8"/>
  <c r="C8" i="8" s="1"/>
  <c r="C16" i="8" s="1"/>
  <c r="C19" i="8" s="1"/>
  <c r="C21" i="8" s="1"/>
  <c r="C22" i="8" s="1"/>
  <c r="C4" i="9" s="1"/>
  <c r="K8" i="8"/>
  <c r="K16" i="8" s="1"/>
  <c r="K19" i="8" s="1"/>
  <c r="K21" i="8" s="1"/>
  <c r="K22" i="8" s="1"/>
  <c r="N38" i="8"/>
  <c r="N18" i="8" s="1"/>
  <c r="N7" i="8"/>
  <c r="N8" i="8" s="1"/>
  <c r="N16" i="8" s="1"/>
  <c r="F38" i="8"/>
  <c r="F18" i="8" s="1"/>
  <c r="F7" i="8"/>
  <c r="F8" i="8" s="1"/>
  <c r="F16" i="8" s="1"/>
  <c r="J38" i="8"/>
  <c r="J18" i="8" s="1"/>
  <c r="J7" i="8"/>
  <c r="J8" i="8" s="1"/>
  <c r="J16" i="8" s="1"/>
  <c r="E19" i="8"/>
  <c r="E3" i="9"/>
  <c r="J19" i="8" l="1"/>
  <c r="J21" i="8" s="1"/>
  <c r="J22" i="8" s="1"/>
  <c r="N19" i="8"/>
  <c r="N21" i="8" s="1"/>
  <c r="N22" i="8" s="1"/>
  <c r="F19" i="8"/>
  <c r="F21" i="8" s="1"/>
  <c r="F22" i="8" s="1"/>
  <c r="I21" i="8"/>
  <c r="I22" i="8" s="1"/>
  <c r="D21" i="8"/>
  <c r="D22" i="8" s="1"/>
  <c r="D4" i="9" s="1"/>
  <c r="L21" i="8"/>
  <c r="L22" i="8" s="1"/>
  <c r="E21" i="8"/>
  <c r="E22" i="8" s="1"/>
  <c r="F3" i="9"/>
  <c r="G3" i="9" l="1"/>
  <c r="E4" i="9"/>
  <c r="G4" i="9" l="1"/>
  <c r="F4" i="9"/>
  <c r="H3" i="9"/>
  <c r="I3" i="9" l="1"/>
  <c r="H4" i="9" l="1"/>
  <c r="J3" i="9"/>
  <c r="K3" i="9" l="1"/>
  <c r="I4" i="9"/>
  <c r="L3" i="9" l="1"/>
  <c r="J4" i="9"/>
  <c r="K4" i="9" l="1"/>
  <c r="M3" i="9"/>
  <c r="N3" i="9"/>
  <c r="L4" i="9" l="1"/>
  <c r="M4" i="9"/>
  <c r="N4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<sst xmlns="http://schemas.openxmlformats.org/spreadsheetml/2006/main" count="145" uniqueCount="48">
  <si>
    <t>Start Date</t>
  </si>
  <si>
    <t>Account #</t>
  </si>
  <si>
    <t>Description</t>
  </si>
  <si>
    <t>Department</t>
  </si>
  <si>
    <t>Marketing</t>
  </si>
  <si>
    <t>Engineering</t>
  </si>
  <si>
    <t>Support</t>
  </si>
  <si>
    <t>HR</t>
  </si>
  <si>
    <t>Paid Ads</t>
  </si>
  <si>
    <t>Infuencers</t>
  </si>
  <si>
    <t>Consulting</t>
  </si>
  <si>
    <t>Travel</t>
  </si>
  <si>
    <t>Recruiting Events</t>
  </si>
  <si>
    <t>Meetups</t>
  </si>
  <si>
    <t>Software</t>
  </si>
  <si>
    <t>Call Center</t>
  </si>
  <si>
    <t>Actuals</t>
  </si>
  <si>
    <t>Forecast</t>
  </si>
  <si>
    <t>1. Best Case</t>
  </si>
  <si>
    <t>2. Base Case</t>
  </si>
  <si>
    <t>3. Worst Case</t>
  </si>
  <si>
    <t>Revenue</t>
  </si>
  <si>
    <t>COGS</t>
  </si>
  <si>
    <t>Gross Profit</t>
  </si>
  <si>
    <t>Total operating expenses</t>
  </si>
  <si>
    <t>Operating expenses:</t>
  </si>
  <si>
    <t>Operating income</t>
  </si>
  <si>
    <t>Other income / (expense), net</t>
  </si>
  <si>
    <t>Pre-tax income</t>
  </si>
  <si>
    <t>Taxes</t>
  </si>
  <si>
    <t>Net Income</t>
  </si>
  <si>
    <t>Operating Expenses Scenario</t>
  </si>
  <si>
    <t>Income Statement Forecast</t>
  </si>
  <si>
    <t>in USD</t>
  </si>
  <si>
    <t>x</t>
  </si>
  <si>
    <t>Assumptions</t>
  </si>
  <si>
    <t>Customer Acquisition Cost</t>
  </si>
  <si>
    <t>Price</t>
  </si>
  <si>
    <t>Tax Rate</t>
  </si>
  <si>
    <t>Other</t>
  </si>
  <si>
    <t>COGS % of Revenue</t>
  </si>
  <si>
    <t>Other income / (expense), net % of COGS</t>
  </si>
  <si>
    <t>Profit Margin</t>
  </si>
  <si>
    <t>Actual Operating Expenses</t>
  </si>
  <si>
    <t>Units Sold</t>
  </si>
  <si>
    <t>Best</t>
  </si>
  <si>
    <t xml:space="preserve">Worst </t>
  </si>
  <si>
    <t>1. Live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</si>
</sst>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[$$-C09]#,##0.00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rgb="FF0432FF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5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/>
    <xf numFmtId="17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17" fontId="2" fillId="2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5" fillId="0" borderId="2" xfId="0" applyFont="1" applyBorder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6" fillId="0" borderId="0" xfId="0" applyFont="1"/>
    <xf numFmtId="9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right"/>
    </xf>
    <xf numFmtId="166" fontId="6" fillId="0" borderId="0" xfId="0" applyNumberFormat="1" applyFont="1"/>
    <xf numFmtId="3" fontId="5" fillId="0" borderId="2" xfId="0" applyNumberFormat="1" applyFont="1" applyBorder="1"/>
    <xf numFmtId="3" fontId="5" fillId="3" borderId="3" xfId="0" applyNumberFormat="1" applyFont="1" applyFill="1" applyBorder="1"/>
    <xf numFmtId="3" fontId="5" fillId="0" borderId="2" xfId="0" applyNumberFormat="1" applyFont="1" applyBorder="1" applyAlignment="1">
      <alignment horizontal="right"/>
    </xf>
    <xf numFmtId="0" fontId="5" fillId="5" borderId="0" xfId="0" applyFont="1" applyFill="1"/>
    <xf numFmtId="17" fontId="7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8" fillId="2" borderId="0" xfId="0" applyNumberFormat="1" applyFont="1" applyFill="1"/>
    <xf numFmtId="0" fontId="8" fillId="2" borderId="0" xfId="0" applyFont="1" applyFill="1"/>
    <xf numFmtId="166" fontId="0" fillId="0" borderId="0" xfId="4" applyNumberFormat="1" applyFont="1"/>
    <xf numFmtId="0" fontId="2" fillId="6" borderId="0" xfId="0" applyFont="1" applyFill="1"/>
    <xf numFmtId="9" fontId="0" fillId="7" borderId="1" xfId="0" applyNumberFormat="1" applyFill="1" applyBorder="1"/>
  </cellXfs>
  <cellStyles count="5"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  <cellStyle name="Percent" xfId="4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88</c:v>
                </c:pt>
                <c:pt idx="4">
                  <c:v>119</c:v>
                </c:pt>
                <c:pt idx="5">
                  <c:v>149</c:v>
                </c:pt>
                <c:pt idx="6">
                  <c:v>180</c:v>
                </c:pt>
                <c:pt idx="7">
                  <c:v>210</c:v>
                </c:pt>
                <c:pt idx="8">
                  <c:v>241</c:v>
                </c:pt>
                <c:pt idx="9">
                  <c:v>272</c:v>
                </c:pt>
                <c:pt idx="10">
                  <c:v>302</c:v>
                </c:pt>
                <c:pt idx="11">
                  <c:v>333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492926.1640982161</c:v>
                </c:pt>
                <c:pt idx="1">
                  <c:v>485050.72540388722</c:v>
                </c:pt>
                <c:pt idx="2">
                  <c:v>484371.60662583157</c:v>
                </c:pt>
                <c:pt idx="3">
                  <c:v>475834.27704339882</c:v>
                </c:pt>
                <c:pt idx="4">
                  <c:v>475054.23993346049</c:v>
                </c:pt>
                <c:pt idx="5">
                  <c:v>467230.60148807667</c:v>
                </c:pt>
                <c:pt idx="6">
                  <c:v>597538.00288595224</c:v>
                </c:pt>
                <c:pt idx="7">
                  <c:v>587804.11604700785</c:v>
                </c:pt>
                <c:pt idx="8">
                  <c:v>584808.82642007933</c:v>
                </c:pt>
                <c:pt idx="9">
                  <c:v>574610.58310646261</c:v>
                </c:pt>
                <c:pt idx="10">
                  <c:v>573261.96627142967</c:v>
                </c:pt>
                <c:pt idx="11">
                  <c:v>562063.73207523138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88</c:v>
                </c:pt>
                <c:pt idx="4">
                  <c:v>119</c:v>
                </c:pt>
                <c:pt idx="5">
                  <c:v>149</c:v>
                </c:pt>
                <c:pt idx="6">
                  <c:v>180</c:v>
                </c:pt>
                <c:pt idx="7">
                  <c:v>210</c:v>
                </c:pt>
                <c:pt idx="8">
                  <c:v>241</c:v>
                </c:pt>
                <c:pt idx="9">
                  <c:v>272</c:v>
                </c:pt>
                <c:pt idx="10">
                  <c:v>302</c:v>
                </c:pt>
                <c:pt idx="11">
                  <c:v>333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7.0987370994058704E-2</c:v>
                </c:pt>
                <c:pt idx="1">
                  <c:v>6.4881849244805181E-2</c:v>
                </c:pt>
                <c:pt idx="2">
                  <c:v>6.17453023931075E-2</c:v>
                </c:pt>
                <c:pt idx="3">
                  <c:v>5.5274818873861882E-2</c:v>
                </c:pt>
                <c:pt idx="4">
                  <c:v>5.2340612940446299E-2</c:v>
                </c:pt>
                <c:pt idx="5">
                  <c:v>4.6589790134621424E-2</c:v>
                </c:pt>
                <c:pt idx="6">
                  <c:v>0.14767893373583257</c:v>
                </c:pt>
                <c:pt idx="7">
                  <c:v>0.14254166281320324</c:v>
                </c:pt>
                <c:pt idx="8">
                  <c:v>0.13947455010737142</c:v>
                </c:pt>
                <c:pt idx="9">
                  <c:v>0.13423970383624437</c:v>
                </c:pt>
                <c:pt idx="10">
                  <c:v>0.13108702732311103</c:v>
                </c:pt>
                <c:pt idx="11">
                  <c:v>0.12479711834987055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215"/>
        <c:crosses val="autoZero"/>
        <c:crossBetween val="between"/>
      </c:val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42463"/>
        <c:crosses val="max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68B-2FA6-CC51-98AF-CEF1DEE7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1F39-9ED4-4621-A069-61315A9626F2}">
  <dimension ref="B2:H13"/>
  <sheetViews>
    <sheetView zoomScale="115" zoomScaleNormal="115" workbookViewId="0">
      <selection activeCell="E3" sqref="E3"/>
    </sheetView>
  </sheetViews>
  <sheetFormatPr defaultColWidth="8.875" defaultRowHeight="15.75" x14ac:dyDescent="0.25"/>
  <cols>
    <col min="1" max="1" width="2.625" customWidth="1"/>
    <col min="2" max="2" width="10.125" customWidth="1"/>
    <col min="3" max="3" width="11.125" bestFit="1" customWidth="1"/>
    <col min="4" max="4" width="15.375" bestFit="1" customWidth="1"/>
  </cols>
  <sheetData>
    <row r="2" spans="2:8" x14ac:dyDescent="0.25">
      <c r="B2" s="29" t="s">
        <v>0</v>
      </c>
      <c r="C2" s="28">
        <v>45559</v>
      </c>
    </row>
    <row r="4" spans="2:8" x14ac:dyDescent="0.25">
      <c r="B4" s="15" t="s">
        <v>43</v>
      </c>
      <c r="C4" s="2"/>
      <c r="D4" s="2"/>
      <c r="E4" s="2"/>
      <c r="F4" s="2"/>
      <c r="G4" s="2"/>
      <c r="H4" s="2"/>
    </row>
    <row r="5" spans="2:8" x14ac:dyDescent="0.25">
      <c r="B5" s="16" t="s">
        <v>1</v>
      </c>
      <c r="C5" s="16" t="s">
        <v>3</v>
      </c>
      <c r="D5" s="16" t="s">
        <v>2</v>
      </c>
      <c r="E5" s="12"/>
      <c r="F5" s="12"/>
      <c r="G5" s="12"/>
      <c r="H5" s="12"/>
    </row>
    <row r="6" spans="2:8" x14ac:dyDescent="0.25">
      <c r="B6" s="3">
        <v>11256</v>
      </c>
      <c r="C6" s="4" t="s">
        <v>4</v>
      </c>
      <c r="D6" t="s">
        <v>8</v>
      </c>
      <c r="E6" s="21">
        <v>22992</v>
      </c>
      <c r="F6" s="21">
        <v>24001</v>
      </c>
      <c r="G6" s="21">
        <v>26558</v>
      </c>
      <c r="H6" s="21">
        <v>25446</v>
      </c>
    </row>
    <row r="7" spans="2:8" x14ac:dyDescent="0.25">
      <c r="B7" s="3">
        <v>11257</v>
      </c>
      <c r="C7" s="4" t="s">
        <v>4</v>
      </c>
      <c r="D7" t="s">
        <v>9</v>
      </c>
      <c r="E7" s="21">
        <v>53326</v>
      </c>
      <c r="F7" s="21">
        <v>54223</v>
      </c>
      <c r="G7" s="21">
        <v>51000</v>
      </c>
      <c r="H7" s="21">
        <v>50000</v>
      </c>
    </row>
    <row r="8" spans="2:8" x14ac:dyDescent="0.25">
      <c r="B8" s="3">
        <v>11259</v>
      </c>
      <c r="C8" s="4" t="s">
        <v>5</v>
      </c>
      <c r="D8" t="s">
        <v>10</v>
      </c>
      <c r="E8" s="21">
        <v>35888</v>
      </c>
      <c r="F8" s="21">
        <v>36880</v>
      </c>
      <c r="G8" s="21">
        <v>37995</v>
      </c>
      <c r="H8" s="21">
        <v>40000</v>
      </c>
    </row>
    <row r="9" spans="2:8" x14ac:dyDescent="0.25">
      <c r="B9" s="3">
        <v>11260</v>
      </c>
      <c r="C9" s="4" t="s">
        <v>5</v>
      </c>
      <c r="D9" t="s">
        <v>11</v>
      </c>
      <c r="E9" s="21">
        <v>87942</v>
      </c>
      <c r="F9" s="21">
        <v>85224</v>
      </c>
      <c r="G9" s="21">
        <v>82469</v>
      </c>
      <c r="H9" s="21">
        <v>81005</v>
      </c>
    </row>
    <row r="10" spans="2:8" x14ac:dyDescent="0.25">
      <c r="B10" s="3">
        <v>11263</v>
      </c>
      <c r="C10" s="4" t="s">
        <v>6</v>
      </c>
      <c r="D10" s="1" t="s">
        <v>14</v>
      </c>
      <c r="E10" s="21">
        <v>92622</v>
      </c>
      <c r="F10" s="21">
        <v>90005</v>
      </c>
      <c r="G10" s="21">
        <v>87556</v>
      </c>
      <c r="H10" s="21">
        <v>84522</v>
      </c>
    </row>
    <row r="11" spans="2:8" x14ac:dyDescent="0.25">
      <c r="B11" s="3">
        <v>11264</v>
      </c>
      <c r="C11" s="4" t="s">
        <v>6</v>
      </c>
      <c r="D11" s="1" t="s">
        <v>15</v>
      </c>
      <c r="E11" s="21">
        <v>27416</v>
      </c>
      <c r="F11" s="21">
        <v>26554</v>
      </c>
      <c r="G11" s="21">
        <v>24330</v>
      </c>
      <c r="H11" s="21">
        <v>22338</v>
      </c>
    </row>
    <row r="12" spans="2:8" x14ac:dyDescent="0.25">
      <c r="B12" s="3">
        <v>11267</v>
      </c>
      <c r="C12" s="4" t="s">
        <v>7</v>
      </c>
      <c r="D12" s="1" t="s">
        <v>12</v>
      </c>
      <c r="E12" s="21">
        <v>41696</v>
      </c>
      <c r="F12" s="21">
        <v>41696</v>
      </c>
      <c r="G12" s="21">
        <v>42558</v>
      </c>
      <c r="H12" s="21">
        <v>45448</v>
      </c>
    </row>
    <row r="13" spans="2:8" x14ac:dyDescent="0.25">
      <c r="B13" s="3">
        <v>11268</v>
      </c>
      <c r="C13" s="4" t="s">
        <v>7</v>
      </c>
      <c r="D13" s="1" t="s">
        <v>13</v>
      </c>
      <c r="E13" s="21">
        <v>60285</v>
      </c>
      <c r="F13" s="21">
        <v>61225</v>
      </c>
      <c r="G13" s="21">
        <v>68994</v>
      </c>
      <c r="H13" s="21">
        <v>72410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5C7-3FC9-4A46-B73D-ABCCA96878D6}">
  <dimension ref="A1:T49"/>
  <sheetViews>
    <sheetView tabSelected="1" topLeftCell="A5" zoomScale="115" zoomScaleNormal="115" workbookViewId="0">
      <selection activeCell="I6" sqref="I6"/>
    </sheetView>
  </sheetViews>
  <sheetFormatPr defaultColWidth="11.125" defaultRowHeight="15.75" x14ac:dyDescent="0.25"/>
  <cols>
    <col min="1" max="1" width="2.375" customWidth="1"/>
    <col min="2" max="2" width="12.125" customWidth="1"/>
    <col min="5" max="20" width="8.625" customWidth="1"/>
  </cols>
  <sheetData>
    <row r="1" spans="1:20" x14ac:dyDescent="0.25">
      <c r="B1" t="s">
        <v>45</v>
      </c>
      <c r="C1" s="34">
        <v>0.3</v>
      </c>
    </row>
    <row r="2" spans="1:20" x14ac:dyDescent="0.25">
      <c r="B2" t="s">
        <v>46</v>
      </c>
      <c r="C2" s="34">
        <v>0.3</v>
      </c>
    </row>
    <row r="4" spans="1:20" x14ac:dyDescent="0.25">
      <c r="B4" s="15" t="s">
        <v>47</v>
      </c>
      <c r="C4" s="30"/>
      <c r="D4" s="30"/>
      <c r="E4" s="33" t="s">
        <v>16</v>
      </c>
      <c r="F4" s="33"/>
      <c r="G4" s="33"/>
      <c r="H4" s="33"/>
      <c r="I4" s="15" t="s">
        <v>17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x14ac:dyDescent="0.25">
      <c r="B5" s="16" t="s">
        <v>1</v>
      </c>
      <c r="C5" s="16" t="s">
        <v>3</v>
      </c>
      <c r="D5" s="16" t="s">
        <v>2</v>
      </c>
      <c r="E5" s="12">
        <v>45559</v>
      </c>
      <c r="F5" s="12">
        <v>45589</v>
      </c>
      <c r="G5" s="12">
        <v>45620</v>
      </c>
      <c r="H5" s="12">
        <v>45650</v>
      </c>
      <c r="I5" s="12">
        <v>45681</v>
      </c>
      <c r="J5" s="12">
        <v>45712</v>
      </c>
      <c r="K5" s="12">
        <v>45740</v>
      </c>
      <c r="L5" s="12">
        <v>45771</v>
      </c>
      <c r="M5" s="12">
        <v>45801</v>
      </c>
      <c r="N5" s="12">
        <v>45832</v>
      </c>
      <c r="O5" s="12">
        <v>45862</v>
      </c>
      <c r="P5" s="12">
        <v>45893</v>
      </c>
      <c r="Q5" s="12">
        <v>45924</v>
      </c>
      <c r="R5" s="12">
        <v>45954</v>
      </c>
      <c r="S5" s="12">
        <v>45985</v>
      </c>
      <c r="T5" s="12">
        <v>46015</v>
      </c>
    </row>
    <row r="6" spans="1:20" x14ac:dyDescent="0.25">
      <c r="B6" s="3">
        <v>11256</v>
      </c>
      <c r="C6" s="4" t="s">
        <v>4</v>
      </c>
      <c r="D6" t="s">
        <v>8</v>
      </c>
      <c r="E6" s="7">
        <v>22992</v>
      </c>
      <c r="F6" s="7">
        <v>24001</v>
      </c>
      <c r="G6" s="7">
        <v>26558</v>
      </c>
      <c r="H6" s="7">
        <v>25446</v>
      </c>
      <c r="I6">
        <f>CHOOSE('Income Statement'!$C$2,Forecast!I17,Forecast!I28,Forecast!I39)</f>
        <v>18801.832798509025</v>
      </c>
      <c r="J6">
        <f>CHOOSE('Income Statement'!$C$2,Forecast!J17,Forecast!J28,Forecast!J39)</f>
        <v>18845.81549813259</v>
      </c>
      <c r="K6">
        <f>CHOOSE('Income Statement'!$C$2,Forecast!K17,Forecast!K28,Forecast!K39)</f>
        <v>19992.153936255152</v>
      </c>
      <c r="L6">
        <f>CHOOSE('Income Statement'!$C$2,Forecast!L17,Forecast!L28,Forecast!L39)</f>
        <v>19951.002353001724</v>
      </c>
      <c r="M6">
        <f>CHOOSE('Income Statement'!$C$2,Forecast!M17,Forecast!M28,Forecast!M39)</f>
        <v>21070.942906461838</v>
      </c>
      <c r="N6">
        <f>CHOOSE('Income Statement'!$C$2,Forecast!N17,Forecast!N28,Forecast!N39)</f>
        <v>21078.203439807949</v>
      </c>
      <c r="O6">
        <f>CHOOSE('Income Statement'!$C$2,Forecast!O17,Forecast!O28,Forecast!O39)</f>
        <v>22170.532628158315</v>
      </c>
      <c r="P6">
        <f>CHOOSE('Income Statement'!$C$2,Forecast!P17,Forecast!P28,Forecast!P39)</f>
        <v>22178.407220175901</v>
      </c>
      <c r="Q6">
        <f>CHOOSE('Income Statement'!$C$2,Forecast!Q17,Forecast!Q28,Forecast!Q39)</f>
        <v>23268.670600852336</v>
      </c>
      <c r="R6">
        <f>CHOOSE('Income Statement'!$C$2,Forecast!R17,Forecast!R28,Forecast!R39)</f>
        <v>23275.569103114034</v>
      </c>
      <c r="S6">
        <f>CHOOSE('Income Statement'!$C$2,Forecast!S17,Forecast!S28,Forecast!S39)</f>
        <v>24365.25598707582</v>
      </c>
      <c r="T6">
        <f>CHOOSE('Income Statement'!$C$2,Forecast!T17,Forecast!T28,Forecast!T39)</f>
        <v>24371.809335891023</v>
      </c>
    </row>
    <row r="7" spans="1:20" x14ac:dyDescent="0.25">
      <c r="B7" s="3">
        <v>11257</v>
      </c>
      <c r="C7" s="4" t="s">
        <v>4</v>
      </c>
      <c r="D7" t="s">
        <v>9</v>
      </c>
      <c r="E7" s="7">
        <v>53326</v>
      </c>
      <c r="F7" s="7">
        <v>54223</v>
      </c>
      <c r="G7" s="7">
        <v>51000</v>
      </c>
      <c r="H7" s="7">
        <v>50000</v>
      </c>
      <c r="I7">
        <f>CHOOSE('Income Statement'!$C$2,Forecast!I18,Forecast!I29,Forecast!I40)</f>
        <v>34200.980545385173</v>
      </c>
      <c r="J7">
        <f>CHOOSE('Income Statement'!$C$2,Forecast!J18,Forecast!J29,Forecast!J40)</f>
        <v>33310.176480780006</v>
      </c>
      <c r="K7">
        <f>CHOOSE('Income Statement'!$C$2,Forecast!K18,Forecast!K29,Forecast!K40)</f>
        <v>32090.814518135339</v>
      </c>
      <c r="L7">
        <f>CHOOSE('Income Statement'!$C$2,Forecast!L18,Forecast!L29,Forecast!L40)</f>
        <v>31213.973673170192</v>
      </c>
      <c r="M7">
        <f>CHOOSE('Income Statement'!$C$2,Forecast!M18,Forecast!M29,Forecast!M40)</f>
        <v>30010.158161652198</v>
      </c>
      <c r="N7">
        <f>CHOOSE('Income Statement'!$C$2,Forecast!N18,Forecast!N29,Forecast!N40)</f>
        <v>29161.646182565881</v>
      </c>
      <c r="O7">
        <f>CHOOSE('Income Statement'!$C$2,Forecast!O18,Forecast!O29,Forecast!O40)</f>
        <v>27790.83885060023</v>
      </c>
      <c r="P7">
        <f>CHOOSE('Income Statement'!$C$2,Forecast!P18,Forecast!P29,Forecast!P40)</f>
        <v>26969.094121547165</v>
      </c>
      <c r="Q7">
        <f>CHOOSE('Income Statement'!$C$2,Forecast!Q18,Forecast!Q29,Forecast!Q40)</f>
        <v>25628.388464371685</v>
      </c>
      <c r="R7">
        <f>CHOOSE('Income Statement'!$C$2,Forecast!R18,Forecast!R29,Forecast!R40)</f>
        <v>24768.79403287782</v>
      </c>
      <c r="S7">
        <f>CHOOSE('Income Statement'!$C$2,Forecast!S18,Forecast!S29,Forecast!S40)</f>
        <v>23566.346543980169</v>
      </c>
      <c r="T7">
        <f>CHOOSE('Income Statement'!$C$2,Forecast!T18,Forecast!T29,Forecast!T40)</f>
        <v>22623.485988124976</v>
      </c>
    </row>
    <row r="8" spans="1:20" x14ac:dyDescent="0.25">
      <c r="B8" s="3">
        <v>11259</v>
      </c>
      <c r="C8" s="4" t="s">
        <v>5</v>
      </c>
      <c r="D8" t="s">
        <v>10</v>
      </c>
      <c r="E8" s="7">
        <v>35888</v>
      </c>
      <c r="F8" s="7">
        <v>36880</v>
      </c>
      <c r="G8" s="7">
        <v>37995</v>
      </c>
      <c r="H8" s="7">
        <v>40000</v>
      </c>
      <c r="I8">
        <f>CHOOSE('Income Statement'!$C$2,Forecast!I19,Forecast!I30,Forecast!I41)</f>
        <v>28828.77984095077</v>
      </c>
      <c r="J8">
        <f>CHOOSE('Income Statement'!$C$2,Forecast!J19,Forecast!J30,Forecast!J41)</f>
        <v>29829.570164476117</v>
      </c>
      <c r="K8">
        <f>CHOOSE('Income Statement'!$C$2,Forecast!K19,Forecast!K30,Forecast!K41)</f>
        <v>30825.317504704482</v>
      </c>
      <c r="L8">
        <f>CHOOSE('Income Statement'!$C$2,Forecast!L19,Forecast!L30,Forecast!L41)</f>
        <v>31789.738290075573</v>
      </c>
      <c r="M8">
        <f>CHOOSE('Income Statement'!$C$2,Forecast!M19,Forecast!M30,Forecast!M41)</f>
        <v>32770.197232069448</v>
      </c>
      <c r="N8">
        <f>CHOOSE('Income Statement'!$C$2,Forecast!N19,Forecast!N30,Forecast!N41)</f>
        <v>33750.717553995179</v>
      </c>
      <c r="O8">
        <f>CHOOSE('Income Statement'!$C$2,Forecast!O19,Forecast!O30,Forecast!O41)</f>
        <v>34731.303355507451</v>
      </c>
      <c r="P8">
        <f>CHOOSE('Income Statement'!$C$2,Forecast!P19,Forecast!P30,Forecast!P41)</f>
        <v>35711.936210127016</v>
      </c>
      <c r="Q8">
        <f>CHOOSE('Income Statement'!$C$2,Forecast!Q19,Forecast!Q30,Forecast!Q41)</f>
        <v>36692.596813977179</v>
      </c>
      <c r="R8">
        <f>CHOOSE('Income Statement'!$C$2,Forecast!R19,Forecast!R30,Forecast!R41)</f>
        <v>37673.269972245129</v>
      </c>
      <c r="S8">
        <f>CHOOSE('Income Statement'!$C$2,Forecast!S19,Forecast!S30,Forecast!S41)</f>
        <v>38653.944825962666</v>
      </c>
      <c r="T8">
        <f>CHOOSE('Income Statement'!$C$2,Forecast!T19,Forecast!T30,Forecast!T41)</f>
        <v>39634.6139658135</v>
      </c>
    </row>
    <row r="9" spans="1:20" x14ac:dyDescent="0.25">
      <c r="B9" s="3">
        <v>11260</v>
      </c>
      <c r="C9" s="4" t="s">
        <v>5</v>
      </c>
      <c r="D9" t="s">
        <v>11</v>
      </c>
      <c r="E9" s="7">
        <v>87942</v>
      </c>
      <c r="F9" s="7">
        <v>85224</v>
      </c>
      <c r="G9" s="7">
        <v>82469</v>
      </c>
      <c r="H9" s="7">
        <v>81005</v>
      </c>
      <c r="I9">
        <f>CHOOSE('Income Statement'!$C$2,Forecast!I20,Forecast!I31,Forecast!I42)</f>
        <v>54899.524086309277</v>
      </c>
      <c r="J9">
        <f>CHOOSE('Income Statement'!$C$2,Forecast!J20,Forecast!J31,Forecast!J42)</f>
        <v>53324.630403736133</v>
      </c>
      <c r="K9">
        <f>CHOOSE('Income Statement'!$C$2,Forecast!K20,Forecast!K31,Forecast!K42)</f>
        <v>51738.725525692258</v>
      </c>
      <c r="L9">
        <f>CHOOSE('Income Statement'!$C$2,Forecast!L20,Forecast!L31,Forecast!L42)</f>
        <v>50128.337214179221</v>
      </c>
      <c r="M9">
        <f>CHOOSE('Income Statement'!$C$2,Forecast!M20,Forecast!M31,Forecast!M42)</f>
        <v>48532.325102439019</v>
      </c>
      <c r="N9">
        <f>CHOOSE('Income Statement'!$C$2,Forecast!N20,Forecast!N31,Forecast!N42)</f>
        <v>46935.402424132728</v>
      </c>
      <c r="O9">
        <f>CHOOSE('Income Statement'!$C$2,Forecast!O20,Forecast!O31,Forecast!O42)</f>
        <v>45337.880400851762</v>
      </c>
      <c r="P9">
        <f>CHOOSE('Income Statement'!$C$2,Forecast!P20,Forecast!P31,Forecast!P42)</f>
        <v>43736.510289264064</v>
      </c>
      <c r="Q9">
        <f>CHOOSE('Income Statement'!$C$2,Forecast!Q20,Forecast!Q31,Forecast!Q42)</f>
        <v>42137.664854175375</v>
      </c>
      <c r="R9">
        <f>CHOOSE('Income Statement'!$C$2,Forecast!R20,Forecast!R31,Forecast!R42)</f>
        <v>40538.874672754966</v>
      </c>
      <c r="S9">
        <f>CHOOSE('Income Statement'!$C$2,Forecast!S20,Forecast!S31,Forecast!S42)</f>
        <v>38940.115777701256</v>
      </c>
      <c r="T9">
        <f>CHOOSE('Income Statement'!$C$2,Forecast!T20,Forecast!T31,Forecast!T42)</f>
        <v>37341.371385152641</v>
      </c>
    </row>
    <row r="10" spans="1:20" x14ac:dyDescent="0.25">
      <c r="B10" s="3">
        <v>11263</v>
      </c>
      <c r="C10" s="4" t="s">
        <v>6</v>
      </c>
      <c r="D10" s="1" t="s">
        <v>14</v>
      </c>
      <c r="E10" s="7">
        <v>92622</v>
      </c>
      <c r="F10" s="7">
        <v>90005</v>
      </c>
      <c r="G10" s="7">
        <v>87556</v>
      </c>
      <c r="H10" s="7">
        <v>84522</v>
      </c>
      <c r="I10">
        <f>CHOOSE('Income Statement'!$C$2,Forecast!I21,Forecast!I32,Forecast!I43)</f>
        <v>57341.813562590374</v>
      </c>
      <c r="J10">
        <f>CHOOSE('Income Statement'!$C$2,Forecast!J21,Forecast!J32,Forecast!J43)</f>
        <v>55444.485458966454</v>
      </c>
      <c r="K10">
        <f>CHOOSE('Income Statement'!$C$2,Forecast!K21,Forecast!K32,Forecast!K43)</f>
        <v>53538.414930696134</v>
      </c>
      <c r="L10">
        <f>CHOOSE('Income Statement'!$C$2,Forecast!L21,Forecast!L32,Forecast!L43)</f>
        <v>51654.741549651335</v>
      </c>
      <c r="M10">
        <f>CHOOSE('Income Statement'!$C$2,Forecast!M21,Forecast!M32,Forecast!M43)</f>
        <v>49760.338279115051</v>
      </c>
      <c r="N10">
        <f>CHOOSE('Income Statement'!$C$2,Forecast!N21,Forecast!N32,Forecast!N43)</f>
        <v>47787.432473623994</v>
      </c>
      <c r="O10">
        <f>CHOOSE('Income Statement'!$C$2,Forecast!O21,Forecast!O32,Forecast!O43)</f>
        <v>45936.576201475269</v>
      </c>
      <c r="P10">
        <f>CHOOSE('Income Statement'!$C$2,Forecast!P21,Forecast!P32,Forecast!P43)</f>
        <v>44068.576570224628</v>
      </c>
      <c r="Q10">
        <f>CHOOSE('Income Statement'!$C$2,Forecast!Q21,Forecast!Q32,Forecast!Q43)</f>
        <v>42151.344565080486</v>
      </c>
      <c r="R10">
        <f>CHOOSE('Income Statement'!$C$2,Forecast!R21,Forecast!R32,Forecast!R43)</f>
        <v>40254.195099483688</v>
      </c>
      <c r="S10">
        <f>CHOOSE('Income Statement'!$C$2,Forecast!S21,Forecast!S32,Forecast!S43)</f>
        <v>38357.095573872546</v>
      </c>
      <c r="T10">
        <f>CHOOSE('Income Statement'!$C$2,Forecast!T21,Forecast!T32,Forecast!T43)</f>
        <v>36391.144743915756</v>
      </c>
    </row>
    <row r="11" spans="1:20" x14ac:dyDescent="0.25">
      <c r="B11" s="3">
        <v>11264</v>
      </c>
      <c r="C11" s="4" t="s">
        <v>6</v>
      </c>
      <c r="D11" s="1" t="s">
        <v>15</v>
      </c>
      <c r="E11" s="7">
        <v>27416</v>
      </c>
      <c r="F11" s="7">
        <v>26554</v>
      </c>
      <c r="G11" s="7">
        <v>24330</v>
      </c>
      <c r="H11" s="7">
        <v>22338</v>
      </c>
      <c r="I11">
        <f>CHOOSE('Income Statement'!$C$2,Forecast!I22,Forecast!I33,Forecast!I44)</f>
        <v>14549.273701251192</v>
      </c>
      <c r="J11">
        <f>CHOOSE('Income Statement'!$C$2,Forecast!J22,Forecast!J33,Forecast!J44)</f>
        <v>13276.457130534738</v>
      </c>
      <c r="K11">
        <f>CHOOSE('Income Statement'!$C$2,Forecast!K22,Forecast!K33,Forecast!K44)</f>
        <v>11997.135599311807</v>
      </c>
      <c r="L11">
        <f>CHOOSE('Income Statement'!$C$2,Forecast!L22,Forecast!L33,Forecast!L44)</f>
        <v>10778.931124305331</v>
      </c>
      <c r="M11">
        <f>CHOOSE('Income Statement'!$C$2,Forecast!M22,Forecast!M33,Forecast!M44)</f>
        <v>9537.5757378848175</v>
      </c>
      <c r="N11">
        <f>CHOOSE('Income Statement'!$C$2,Forecast!N22,Forecast!N33,Forecast!N44)</f>
        <v>8021.7835158805083</v>
      </c>
      <c r="O11">
        <f>CHOOSE('Income Statement'!$C$2,Forecast!O22,Forecast!O33,Forecast!O44)</f>
        <v>7164.9996728893593</v>
      </c>
      <c r="P11">
        <f>CHOOSE('Income Statement'!$C$2,Forecast!P22,Forecast!P33,Forecast!P44)</f>
        <v>5789.8934227000091</v>
      </c>
      <c r="Q11">
        <f>CHOOSE('Income Statement'!$C$2,Forecast!Q22,Forecast!Q33,Forecast!Q44)</f>
        <v>4275.8521341583282</v>
      </c>
      <c r="R11">
        <f>CHOOSE('Income Statement'!$C$2,Forecast!R22,Forecast!R33,Forecast!R44)</f>
        <v>3381.5315295558466</v>
      </c>
      <c r="S11">
        <f>CHOOSE('Income Statement'!$C$2,Forecast!S22,Forecast!S33,Forecast!S44)</f>
        <v>2020.9961431256661</v>
      </c>
      <c r="T11">
        <f>CHOOSE('Income Statement'!$C$2,Forecast!T22,Forecast!T33,Forecast!T44)</f>
        <v>578.13463288932496</v>
      </c>
    </row>
    <row r="12" spans="1:20" x14ac:dyDescent="0.25">
      <c r="B12" s="3">
        <v>11267</v>
      </c>
      <c r="C12" s="4" t="s">
        <v>7</v>
      </c>
      <c r="D12" s="1" t="s">
        <v>12</v>
      </c>
      <c r="E12" s="7">
        <v>41696</v>
      </c>
      <c r="F12" s="7">
        <v>41696</v>
      </c>
      <c r="G12" s="7">
        <v>42558</v>
      </c>
      <c r="H12" s="7">
        <v>45448</v>
      </c>
      <c r="I12">
        <f>CHOOSE('Income Statement'!$C$2,Forecast!I23,Forecast!I34,Forecast!I45)</f>
        <v>32379.862872787697</v>
      </c>
      <c r="J12">
        <f>CHOOSE('Income Statement'!$C$2,Forecast!J23,Forecast!J34,Forecast!J45)</f>
        <v>33393.24659184787</v>
      </c>
      <c r="K12">
        <f>CHOOSE('Income Statement'!$C$2,Forecast!K23,Forecast!K34,Forecast!K45)</f>
        <v>34405.120024637334</v>
      </c>
      <c r="L12">
        <f>CHOOSE('Income Statement'!$C$2,Forecast!L23,Forecast!L34,Forecast!L45)</f>
        <v>35316.63006771393</v>
      </c>
      <c r="M12">
        <f>CHOOSE('Income Statement'!$C$2,Forecast!M23,Forecast!M34,Forecast!M45)</f>
        <v>36277.039902487682</v>
      </c>
      <c r="N12">
        <f>CHOOSE('Income Statement'!$C$2,Forecast!N23,Forecast!N34,Forecast!N45)</f>
        <v>37237.619600033184</v>
      </c>
      <c r="O12">
        <f>CHOOSE('Income Statement'!$C$2,Forecast!O23,Forecast!O34,Forecast!O45)</f>
        <v>38198.381949343799</v>
      </c>
      <c r="P12">
        <f>CHOOSE('Income Statement'!$C$2,Forecast!P23,Forecast!P34,Forecast!P45)</f>
        <v>39159.274248438553</v>
      </c>
      <c r="Q12">
        <f>CHOOSE('Income Statement'!$C$2,Forecast!Q23,Forecast!Q34,Forecast!Q45)</f>
        <v>40120.241124014603</v>
      </c>
      <c r="R12">
        <f>CHOOSE('Income Statement'!$C$2,Forecast!R23,Forecast!R34,Forecast!R45)</f>
        <v>41081.239020871813</v>
      </c>
      <c r="S12">
        <f>CHOOSE('Income Statement'!$C$2,Forecast!S23,Forecast!S34,Forecast!S45)</f>
        <v>42042.2368808182</v>
      </c>
      <c r="T12">
        <f>CHOOSE('Income Statement'!$C$2,Forecast!T23,Forecast!T34,Forecast!T45)</f>
        <v>43003.213588512532</v>
      </c>
    </row>
    <row r="13" spans="1:20" x14ac:dyDescent="0.25">
      <c r="B13" s="3">
        <v>11268</v>
      </c>
      <c r="C13" s="4" t="s">
        <v>7</v>
      </c>
      <c r="D13" s="1" t="s">
        <v>13</v>
      </c>
      <c r="E13" s="7">
        <v>60285</v>
      </c>
      <c r="F13" s="7">
        <v>61225</v>
      </c>
      <c r="G13" s="7">
        <v>68994</v>
      </c>
      <c r="H13" s="7">
        <v>72410</v>
      </c>
      <c r="I13">
        <f>CHOOSE('Income Statement'!$C$2,Forecast!I24,Forecast!I35,Forecast!I46)</f>
        <v>53693.924585540073</v>
      </c>
      <c r="J13">
        <f>CHOOSE('Income Statement'!$C$2,Forecast!J24,Forecast!J35,Forecast!J46)</f>
        <v>56511.928224733434</v>
      </c>
      <c r="K13">
        <f>CHOOSE('Income Statement'!$C$2,Forecast!K24,Forecast!K35,Forecast!K46)</f>
        <v>60962.76045329286</v>
      </c>
      <c r="L13">
        <f>CHOOSE('Income Statement'!$C$2,Forecast!L24,Forecast!L35,Forecast!L46)</f>
        <v>63613.011277057878</v>
      </c>
      <c r="M13">
        <f>CHOOSE('Income Statement'!$C$2,Forecast!M24,Forecast!M35,Forecast!M46)</f>
        <v>67863.643701044479</v>
      </c>
      <c r="N13">
        <f>CHOOSE('Income Statement'!$C$2,Forecast!N24,Forecast!N35,Forecast!N46)</f>
        <v>70560.152116717087</v>
      </c>
      <c r="O13">
        <f>CHOOSE('Income Statement'!$C$2,Forecast!O24,Forecast!O35,Forecast!O46)</f>
        <v>74806.187095914036</v>
      </c>
      <c r="P13">
        <f>CHOOSE('Income Statement'!$C$2,Forecast!P24,Forecast!P35,Forecast!P46)</f>
        <v>77725.223467028132</v>
      </c>
      <c r="Q13">
        <f>CHOOSE('Income Statement'!$C$2,Forecast!Q24,Forecast!Q35,Forecast!Q46)</f>
        <v>81950.756454261034</v>
      </c>
      <c r="R13">
        <f>CHOOSE('Income Statement'!$C$2,Forecast!R24,Forecast!R35,Forecast!R46)</f>
        <v>84096.949373811105</v>
      </c>
      <c r="S13">
        <f>CHOOSE('Income Statement'!$C$2,Forecast!S24,Forecast!S35,Forecast!S46)</f>
        <v>88841.643862531098</v>
      </c>
      <c r="T13">
        <f>CHOOSE('Income Statement'!$C$2,Forecast!T24,Forecast!T35,Forecast!T46)</f>
        <v>91760.115365847887</v>
      </c>
    </row>
    <row r="15" spans="1:20" x14ac:dyDescent="0.25">
      <c r="B15" s="15" t="s">
        <v>18</v>
      </c>
      <c r="C15" s="30"/>
      <c r="D15" s="30"/>
      <c r="E15" s="33" t="s">
        <v>16</v>
      </c>
      <c r="F15" s="33"/>
      <c r="G15" s="33"/>
      <c r="H15" s="33"/>
      <c r="I15" s="15" t="s">
        <v>17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spans="1:20" x14ac:dyDescent="0.25">
      <c r="A16" t="s">
        <v>34</v>
      </c>
      <c r="B16" s="16" t="s">
        <v>1</v>
      </c>
      <c r="C16" s="16" t="s">
        <v>3</v>
      </c>
      <c r="D16" s="16" t="s">
        <v>2</v>
      </c>
      <c r="E16" s="12">
        <v>45559</v>
      </c>
      <c r="F16" s="12">
        <v>45589</v>
      </c>
      <c r="G16" s="12">
        <v>45620</v>
      </c>
      <c r="H16" s="12">
        <v>45650</v>
      </c>
      <c r="I16" s="12">
        <v>45681</v>
      </c>
      <c r="J16" s="12">
        <v>45712</v>
      </c>
      <c r="K16" s="12">
        <v>45740</v>
      </c>
      <c r="L16" s="12">
        <v>45771</v>
      </c>
      <c r="M16" s="12">
        <v>45801</v>
      </c>
      <c r="N16" s="12">
        <v>45832</v>
      </c>
      <c r="O16" s="12">
        <v>45862</v>
      </c>
      <c r="P16" s="12">
        <v>45893</v>
      </c>
      <c r="Q16" s="12">
        <v>45924</v>
      </c>
      <c r="R16" s="12">
        <v>45954</v>
      </c>
      <c r="S16" s="12">
        <v>45985</v>
      </c>
      <c r="T16" s="12">
        <v>46015</v>
      </c>
    </row>
    <row r="17" spans="1:20" x14ac:dyDescent="0.25">
      <c r="B17" s="3">
        <v>11256</v>
      </c>
      <c r="C17" s="4" t="s">
        <v>4</v>
      </c>
      <c r="D17" t="s">
        <v>8</v>
      </c>
      <c r="E17" s="7">
        <v>22992</v>
      </c>
      <c r="F17" s="7">
        <v>24001</v>
      </c>
      <c r="G17" s="7">
        <v>26558</v>
      </c>
      <c r="H17" s="7">
        <v>25446</v>
      </c>
      <c r="I17" s="7">
        <f>I28*(1-$C$1)</f>
        <v>18801.832798509025</v>
      </c>
      <c r="J17" s="7">
        <f t="shared" ref="J17:T17" si="0">J28*(1-$C$1)</f>
        <v>18845.81549813259</v>
      </c>
      <c r="K17" s="7">
        <f t="shared" si="0"/>
        <v>19992.153936255152</v>
      </c>
      <c r="L17" s="7">
        <f t="shared" si="0"/>
        <v>19951.002353001724</v>
      </c>
      <c r="M17" s="7">
        <f t="shared" si="0"/>
        <v>21070.942906461838</v>
      </c>
      <c r="N17" s="7">
        <f t="shared" si="0"/>
        <v>21078.203439807949</v>
      </c>
      <c r="O17" s="7">
        <f t="shared" si="0"/>
        <v>22170.532628158315</v>
      </c>
      <c r="P17" s="7">
        <f t="shared" si="0"/>
        <v>22178.407220175901</v>
      </c>
      <c r="Q17" s="7">
        <f t="shared" si="0"/>
        <v>23268.670600852336</v>
      </c>
      <c r="R17" s="7">
        <f t="shared" si="0"/>
        <v>23275.569103114034</v>
      </c>
      <c r="S17" s="7">
        <f t="shared" si="0"/>
        <v>24365.25598707582</v>
      </c>
      <c r="T17" s="7">
        <f t="shared" si="0"/>
        <v>24371.809335891023</v>
      </c>
    </row>
    <row r="18" spans="1:20" x14ac:dyDescent="0.25">
      <c r="B18" s="3">
        <v>11257</v>
      </c>
      <c r="C18" s="4" t="s">
        <v>4</v>
      </c>
      <c r="D18" t="s">
        <v>9</v>
      </c>
      <c r="E18" s="7">
        <v>53326</v>
      </c>
      <c r="F18" s="7">
        <v>54223</v>
      </c>
      <c r="G18" s="7">
        <v>51000</v>
      </c>
      <c r="H18" s="7">
        <v>50000</v>
      </c>
      <c r="I18" s="7">
        <f t="shared" ref="I18:T18" si="1">I29*(1-$C$1)</f>
        <v>34200.980545385173</v>
      </c>
      <c r="J18" s="7">
        <f t="shared" si="1"/>
        <v>33310.176480780006</v>
      </c>
      <c r="K18" s="7">
        <f t="shared" si="1"/>
        <v>32090.814518135339</v>
      </c>
      <c r="L18" s="7">
        <f t="shared" si="1"/>
        <v>31213.973673170192</v>
      </c>
      <c r="M18" s="7">
        <f t="shared" si="1"/>
        <v>30010.158161652198</v>
      </c>
      <c r="N18" s="7">
        <f t="shared" si="1"/>
        <v>29161.646182565881</v>
      </c>
      <c r="O18" s="7">
        <f t="shared" si="1"/>
        <v>27790.83885060023</v>
      </c>
      <c r="P18" s="7">
        <f t="shared" si="1"/>
        <v>26969.094121547165</v>
      </c>
      <c r="Q18" s="7">
        <f t="shared" si="1"/>
        <v>25628.388464371685</v>
      </c>
      <c r="R18" s="7">
        <f t="shared" si="1"/>
        <v>24768.79403287782</v>
      </c>
      <c r="S18" s="7">
        <f t="shared" si="1"/>
        <v>23566.346543980169</v>
      </c>
      <c r="T18" s="7">
        <f t="shared" si="1"/>
        <v>22623.485988124976</v>
      </c>
    </row>
    <row r="19" spans="1:20" x14ac:dyDescent="0.25">
      <c r="B19" s="3">
        <v>11259</v>
      </c>
      <c r="C19" s="4" t="s">
        <v>5</v>
      </c>
      <c r="D19" t="s">
        <v>10</v>
      </c>
      <c r="E19" s="7">
        <v>35888</v>
      </c>
      <c r="F19" s="7">
        <v>36880</v>
      </c>
      <c r="G19" s="7">
        <v>37995</v>
      </c>
      <c r="H19" s="7">
        <v>40000</v>
      </c>
      <c r="I19" s="7">
        <f t="shared" ref="I19:T19" si="2">I30*(1-$C$1)</f>
        <v>28828.77984095077</v>
      </c>
      <c r="J19" s="7">
        <f t="shared" si="2"/>
        <v>29829.570164476117</v>
      </c>
      <c r="K19" s="7">
        <f t="shared" si="2"/>
        <v>30825.317504704482</v>
      </c>
      <c r="L19" s="7">
        <f t="shared" si="2"/>
        <v>31789.738290075573</v>
      </c>
      <c r="M19" s="7">
        <f t="shared" si="2"/>
        <v>32770.197232069448</v>
      </c>
      <c r="N19" s="7">
        <f t="shared" si="2"/>
        <v>33750.717553995179</v>
      </c>
      <c r="O19" s="7">
        <f t="shared" si="2"/>
        <v>34731.303355507451</v>
      </c>
      <c r="P19" s="7">
        <f t="shared" si="2"/>
        <v>35711.936210127016</v>
      </c>
      <c r="Q19" s="7">
        <f t="shared" si="2"/>
        <v>36692.596813977179</v>
      </c>
      <c r="R19" s="7">
        <f t="shared" si="2"/>
        <v>37673.269972245129</v>
      </c>
      <c r="S19" s="7">
        <f t="shared" si="2"/>
        <v>38653.944825962666</v>
      </c>
      <c r="T19" s="7">
        <f t="shared" si="2"/>
        <v>39634.6139658135</v>
      </c>
    </row>
    <row r="20" spans="1:20" x14ac:dyDescent="0.25">
      <c r="B20" s="3">
        <v>11260</v>
      </c>
      <c r="C20" s="4" t="s">
        <v>5</v>
      </c>
      <c r="D20" t="s">
        <v>11</v>
      </c>
      <c r="E20" s="7">
        <v>87942</v>
      </c>
      <c r="F20" s="7">
        <v>85224</v>
      </c>
      <c r="G20" s="7">
        <v>82469</v>
      </c>
      <c r="H20" s="7">
        <v>81005</v>
      </c>
      <c r="I20" s="7">
        <f t="shared" ref="I20:T20" si="3">I31*(1-$C$1)</f>
        <v>54899.524086309277</v>
      </c>
      <c r="J20" s="7">
        <f t="shared" si="3"/>
        <v>53324.630403736133</v>
      </c>
      <c r="K20" s="7">
        <f t="shared" si="3"/>
        <v>51738.725525692258</v>
      </c>
      <c r="L20" s="7">
        <f t="shared" si="3"/>
        <v>50128.337214179221</v>
      </c>
      <c r="M20" s="7">
        <f t="shared" si="3"/>
        <v>48532.325102439019</v>
      </c>
      <c r="N20" s="7">
        <f t="shared" si="3"/>
        <v>46935.402424132728</v>
      </c>
      <c r="O20" s="7">
        <f t="shared" si="3"/>
        <v>45337.880400851762</v>
      </c>
      <c r="P20" s="7">
        <f t="shared" si="3"/>
        <v>43736.510289264064</v>
      </c>
      <c r="Q20" s="7">
        <f t="shared" si="3"/>
        <v>42137.664854175375</v>
      </c>
      <c r="R20" s="7">
        <f t="shared" si="3"/>
        <v>40538.874672754966</v>
      </c>
      <c r="S20" s="7">
        <f t="shared" si="3"/>
        <v>38940.115777701256</v>
      </c>
      <c r="T20" s="7">
        <f t="shared" si="3"/>
        <v>37341.371385152641</v>
      </c>
    </row>
    <row r="21" spans="1:20" x14ac:dyDescent="0.25">
      <c r="B21" s="3">
        <v>11263</v>
      </c>
      <c r="C21" s="4" t="s">
        <v>6</v>
      </c>
      <c r="D21" s="1" t="s">
        <v>14</v>
      </c>
      <c r="E21" s="7">
        <v>92622</v>
      </c>
      <c r="F21" s="7">
        <v>90005</v>
      </c>
      <c r="G21" s="7">
        <v>87556</v>
      </c>
      <c r="H21" s="7">
        <v>84522</v>
      </c>
      <c r="I21" s="7">
        <f t="shared" ref="I21:T21" si="4">I32*(1-$C$1)</f>
        <v>57341.813562590374</v>
      </c>
      <c r="J21" s="7">
        <f t="shared" si="4"/>
        <v>55444.485458966454</v>
      </c>
      <c r="K21" s="7">
        <f t="shared" si="4"/>
        <v>53538.414930696134</v>
      </c>
      <c r="L21" s="7">
        <f t="shared" si="4"/>
        <v>51654.741549651335</v>
      </c>
      <c r="M21" s="7">
        <f t="shared" si="4"/>
        <v>49760.338279115051</v>
      </c>
      <c r="N21" s="7">
        <f t="shared" si="4"/>
        <v>47787.432473623994</v>
      </c>
      <c r="O21" s="7">
        <f t="shared" si="4"/>
        <v>45936.576201475269</v>
      </c>
      <c r="P21" s="7">
        <f t="shared" si="4"/>
        <v>44068.576570224628</v>
      </c>
      <c r="Q21" s="7">
        <f t="shared" si="4"/>
        <v>42151.344565080486</v>
      </c>
      <c r="R21" s="7">
        <f t="shared" si="4"/>
        <v>40254.195099483688</v>
      </c>
      <c r="S21" s="7">
        <f t="shared" si="4"/>
        <v>38357.095573872546</v>
      </c>
      <c r="T21" s="7">
        <f t="shared" si="4"/>
        <v>36391.144743915756</v>
      </c>
    </row>
    <row r="22" spans="1:20" x14ac:dyDescent="0.25">
      <c r="B22" s="3">
        <v>11264</v>
      </c>
      <c r="C22" s="4" t="s">
        <v>6</v>
      </c>
      <c r="D22" s="1" t="s">
        <v>15</v>
      </c>
      <c r="E22" s="7">
        <v>27416</v>
      </c>
      <c r="F22" s="7">
        <v>26554</v>
      </c>
      <c r="G22" s="7">
        <v>24330</v>
      </c>
      <c r="H22" s="7">
        <v>22338</v>
      </c>
      <c r="I22" s="7">
        <f t="shared" ref="I22:T22" si="5">I33*(1-$C$1)</f>
        <v>14549.273701251192</v>
      </c>
      <c r="J22" s="7">
        <f t="shared" si="5"/>
        <v>13276.457130534738</v>
      </c>
      <c r="K22" s="7">
        <f t="shared" si="5"/>
        <v>11997.135599311807</v>
      </c>
      <c r="L22" s="7">
        <f t="shared" si="5"/>
        <v>10778.931124305331</v>
      </c>
      <c r="M22" s="7">
        <f t="shared" si="5"/>
        <v>9537.5757378848175</v>
      </c>
      <c r="N22" s="7">
        <f t="shared" si="5"/>
        <v>8021.7835158805083</v>
      </c>
      <c r="O22" s="7">
        <f t="shared" si="5"/>
        <v>7164.9996728893593</v>
      </c>
      <c r="P22" s="7">
        <f t="shared" si="5"/>
        <v>5789.8934227000091</v>
      </c>
      <c r="Q22" s="7">
        <f t="shared" si="5"/>
        <v>4275.8521341583282</v>
      </c>
      <c r="R22" s="7">
        <f t="shared" si="5"/>
        <v>3381.5315295558466</v>
      </c>
      <c r="S22" s="7">
        <f t="shared" si="5"/>
        <v>2020.9961431256661</v>
      </c>
      <c r="T22" s="7">
        <f t="shared" si="5"/>
        <v>578.13463288932496</v>
      </c>
    </row>
    <row r="23" spans="1:20" x14ac:dyDescent="0.25">
      <c r="B23" s="3">
        <v>11267</v>
      </c>
      <c r="C23" s="4" t="s">
        <v>7</v>
      </c>
      <c r="D23" s="1" t="s">
        <v>12</v>
      </c>
      <c r="E23" s="7">
        <v>41696</v>
      </c>
      <c r="F23" s="7">
        <v>41696</v>
      </c>
      <c r="G23" s="7">
        <v>42558</v>
      </c>
      <c r="H23" s="7">
        <v>45448</v>
      </c>
      <c r="I23" s="7">
        <f t="shared" ref="I23:T23" si="6">I34*(1-$C$1)</f>
        <v>32379.862872787697</v>
      </c>
      <c r="J23" s="7">
        <f t="shared" si="6"/>
        <v>33393.24659184787</v>
      </c>
      <c r="K23" s="7">
        <f t="shared" si="6"/>
        <v>34405.120024637334</v>
      </c>
      <c r="L23" s="7">
        <f t="shared" si="6"/>
        <v>35316.63006771393</v>
      </c>
      <c r="M23" s="7">
        <f t="shared" si="6"/>
        <v>36277.039902487682</v>
      </c>
      <c r="N23" s="7">
        <f t="shared" si="6"/>
        <v>37237.619600033184</v>
      </c>
      <c r="O23" s="7">
        <f t="shared" si="6"/>
        <v>38198.381949343799</v>
      </c>
      <c r="P23" s="7">
        <f t="shared" si="6"/>
        <v>39159.274248438553</v>
      </c>
      <c r="Q23" s="7">
        <f t="shared" si="6"/>
        <v>40120.241124014603</v>
      </c>
      <c r="R23" s="7">
        <f t="shared" si="6"/>
        <v>41081.239020871813</v>
      </c>
      <c r="S23" s="7">
        <f t="shared" si="6"/>
        <v>42042.2368808182</v>
      </c>
      <c r="T23" s="7">
        <f t="shared" si="6"/>
        <v>43003.213588512532</v>
      </c>
    </row>
    <row r="24" spans="1:20" x14ac:dyDescent="0.25">
      <c r="B24" s="3">
        <v>11268</v>
      </c>
      <c r="C24" s="4" t="s">
        <v>7</v>
      </c>
      <c r="D24" s="1" t="s">
        <v>13</v>
      </c>
      <c r="E24" s="7">
        <v>60285</v>
      </c>
      <c r="F24" s="7">
        <v>61225</v>
      </c>
      <c r="G24" s="7">
        <v>68994</v>
      </c>
      <c r="H24" s="7">
        <v>72410</v>
      </c>
      <c r="I24" s="7">
        <f t="shared" ref="I24:T24" si="7">I35*(1-$C$1)</f>
        <v>53693.924585540073</v>
      </c>
      <c r="J24" s="7">
        <f t="shared" si="7"/>
        <v>56511.928224733434</v>
      </c>
      <c r="K24" s="7">
        <f t="shared" si="7"/>
        <v>60962.76045329286</v>
      </c>
      <c r="L24" s="7">
        <f t="shared" si="7"/>
        <v>63613.011277057878</v>
      </c>
      <c r="M24" s="7">
        <f t="shared" si="7"/>
        <v>67863.643701044479</v>
      </c>
      <c r="N24" s="7">
        <f t="shared" si="7"/>
        <v>70560.152116717087</v>
      </c>
      <c r="O24" s="7">
        <f t="shared" si="7"/>
        <v>74806.187095914036</v>
      </c>
      <c r="P24" s="7">
        <f t="shared" si="7"/>
        <v>77725.223467028132</v>
      </c>
      <c r="Q24" s="7">
        <f t="shared" si="7"/>
        <v>81950.756454261034</v>
      </c>
      <c r="R24" s="7">
        <f t="shared" si="7"/>
        <v>84096.949373811105</v>
      </c>
      <c r="S24" s="7">
        <f t="shared" si="7"/>
        <v>88841.643862531098</v>
      </c>
      <c r="T24" s="7">
        <f t="shared" si="7"/>
        <v>91760.115365847887</v>
      </c>
    </row>
    <row r="26" spans="1:20" x14ac:dyDescent="0.25">
      <c r="B26" s="15" t="s">
        <v>19</v>
      </c>
      <c r="C26" s="31"/>
      <c r="D26" s="31"/>
      <c r="E26" s="33" t="s">
        <v>16</v>
      </c>
      <c r="F26" s="33"/>
      <c r="G26" s="33"/>
      <c r="H26" s="33"/>
      <c r="I26" s="15" t="s">
        <v>17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20" x14ac:dyDescent="0.25">
      <c r="A27" t="s">
        <v>34</v>
      </c>
      <c r="B27" s="16" t="s">
        <v>1</v>
      </c>
      <c r="C27" s="16" t="s">
        <v>3</v>
      </c>
      <c r="D27" s="16" t="s">
        <v>2</v>
      </c>
      <c r="E27" s="12">
        <v>45559</v>
      </c>
      <c r="F27" s="12">
        <v>45589</v>
      </c>
      <c r="G27" s="12">
        <v>45620</v>
      </c>
      <c r="H27" s="12">
        <v>45650</v>
      </c>
      <c r="I27" s="12">
        <v>45681</v>
      </c>
      <c r="J27" s="12">
        <v>45712</v>
      </c>
      <c r="K27" s="12">
        <v>45740</v>
      </c>
      <c r="L27" s="12">
        <v>45771</v>
      </c>
      <c r="M27" s="12">
        <v>45801</v>
      </c>
      <c r="N27" s="12">
        <v>45832</v>
      </c>
      <c r="O27" s="12">
        <v>45862</v>
      </c>
      <c r="P27" s="12">
        <v>45893</v>
      </c>
      <c r="Q27" s="12">
        <v>45924</v>
      </c>
      <c r="R27" s="12">
        <v>45954</v>
      </c>
      <c r="S27" s="12">
        <v>45985</v>
      </c>
      <c r="T27" s="12">
        <v>46015</v>
      </c>
    </row>
    <row r="28" spans="1:20" x14ac:dyDescent="0.25">
      <c r="B28" s="3">
        <v>11256</v>
      </c>
      <c r="C28" s="4" t="s">
        <v>4</v>
      </c>
      <c r="D28" t="s">
        <v>8</v>
      </c>
      <c r="E28" s="7">
        <v>22992</v>
      </c>
      <c r="F28" s="7">
        <v>24001</v>
      </c>
      <c r="G28" s="7">
        <v>26558</v>
      </c>
      <c r="H28" s="7">
        <v>25446</v>
      </c>
      <c r="I28" s="7">
        <f>_xlfn.FORECAST.ETS(I$27,$E28:H28,$E$27:H$27)</f>
        <v>26859.76114072718</v>
      </c>
      <c r="J28" s="7">
        <f>_xlfn.FORECAST.ETS(J$27,$E28:I28,$E$27:I$27)</f>
        <v>26922.593568760843</v>
      </c>
      <c r="K28" s="7">
        <f>_xlfn.FORECAST.ETS(K$27,$E28:J28,$E$27:J$27)</f>
        <v>28560.219908935931</v>
      </c>
      <c r="L28" s="7">
        <f>_xlfn.FORECAST.ETS(L$27,$E28:K28,$E$27:K$27)</f>
        <v>28501.43193285961</v>
      </c>
      <c r="M28" s="7">
        <f>_xlfn.FORECAST.ETS(M$27,$E28:L28,$E$27:L$27)</f>
        <v>30101.347009231198</v>
      </c>
      <c r="N28" s="7">
        <f>_xlfn.FORECAST.ETS(N$27,$E28:M28,$E$27:M$27)</f>
        <v>30111.719199725641</v>
      </c>
      <c r="O28" s="7">
        <f>_xlfn.FORECAST.ETS(O$27,$E28:N28,$E$27:N$27)</f>
        <v>31672.189468797595</v>
      </c>
      <c r="P28" s="7">
        <f>_xlfn.FORECAST.ETS(P$27,$E28:O28,$E$27:O$27)</f>
        <v>31683.438885965574</v>
      </c>
      <c r="Q28" s="7">
        <f>_xlfn.FORECAST.ETS(Q$27,$E28:P28,$E$27:P$27)</f>
        <v>33240.958001217623</v>
      </c>
      <c r="R28" s="7">
        <f>_xlfn.FORECAST.ETS(R$27,$E28:Q28,$E$27:Q$27)</f>
        <v>33250.813004448624</v>
      </c>
      <c r="S28" s="7">
        <f>_xlfn.FORECAST.ETS(S$27,$E28:R28,$E$27:R$27)</f>
        <v>34807.508552965461</v>
      </c>
      <c r="T28" s="7">
        <f>_xlfn.FORECAST.ETS(T$27,$E28:S28,$E$27:S$27)</f>
        <v>34816.870479844321</v>
      </c>
    </row>
    <row r="29" spans="1:20" x14ac:dyDescent="0.25">
      <c r="B29" s="3">
        <v>11257</v>
      </c>
      <c r="C29" s="4" t="s">
        <v>4</v>
      </c>
      <c r="D29" t="s">
        <v>9</v>
      </c>
      <c r="E29" s="7">
        <v>53326</v>
      </c>
      <c r="F29" s="7">
        <v>54223</v>
      </c>
      <c r="G29" s="7">
        <v>51000</v>
      </c>
      <c r="H29" s="7">
        <v>50000</v>
      </c>
      <c r="I29" s="7">
        <f>_xlfn.FORECAST.ETS(I$27,$E29:H29,$E$27:H$27)</f>
        <v>48858.543636264534</v>
      </c>
      <c r="J29" s="7">
        <f>_xlfn.FORECAST.ETS(J$27,$E29:I29,$E$27:I$27)</f>
        <v>47585.966401114296</v>
      </c>
      <c r="K29" s="7">
        <f>_xlfn.FORECAST.ETS(K$27,$E29:J29,$E$27:J$27)</f>
        <v>45844.020740193344</v>
      </c>
      <c r="L29" s="7">
        <f>_xlfn.FORECAST.ETS(L$27,$E29:K29,$E$27:K$27)</f>
        <v>44591.390961671706</v>
      </c>
      <c r="M29" s="7">
        <f>_xlfn.FORECAST.ETS(M$27,$E29:L29,$E$27:L$27)</f>
        <v>42871.654516645998</v>
      </c>
      <c r="N29" s="7">
        <f>_xlfn.FORECAST.ETS(N$27,$E29:M29,$E$27:M$27)</f>
        <v>41659.494546522692</v>
      </c>
      <c r="O29" s="7">
        <f>_xlfn.FORECAST.ETS(O$27,$E29:N29,$E$27:N$27)</f>
        <v>39701.198358000329</v>
      </c>
      <c r="P29" s="7">
        <f>_xlfn.FORECAST.ETS(P$27,$E29:O29,$E$27:O$27)</f>
        <v>38527.277316495951</v>
      </c>
      <c r="Q29" s="7">
        <f>_xlfn.FORECAST.ETS(Q$27,$E29:P29,$E$27:P$27)</f>
        <v>36611.983520530979</v>
      </c>
      <c r="R29" s="7">
        <f>_xlfn.FORECAST.ETS(R$27,$E29:Q29,$E$27:Q$27)</f>
        <v>35383.991475539748</v>
      </c>
      <c r="S29" s="7">
        <f>_xlfn.FORECAST.ETS(S$27,$E29:R29,$E$27:R$27)</f>
        <v>33666.209348543103</v>
      </c>
      <c r="T29" s="7">
        <f>_xlfn.FORECAST.ETS(T$27,$E29:S29,$E$27:S$27)</f>
        <v>32319.265697321396</v>
      </c>
    </row>
    <row r="30" spans="1:20" x14ac:dyDescent="0.25">
      <c r="B30" s="3">
        <v>11259</v>
      </c>
      <c r="C30" s="4" t="s">
        <v>5</v>
      </c>
      <c r="D30" t="s">
        <v>10</v>
      </c>
      <c r="E30" s="7">
        <v>35888</v>
      </c>
      <c r="F30" s="7">
        <v>36880</v>
      </c>
      <c r="G30" s="7">
        <v>37995</v>
      </c>
      <c r="H30" s="7">
        <v>40000</v>
      </c>
      <c r="I30" s="7">
        <f>_xlfn.FORECAST.ETS(I$27,$E30:H30,$E$27:H$27)</f>
        <v>41183.971201358247</v>
      </c>
      <c r="J30" s="7">
        <f>_xlfn.FORECAST.ETS(J$27,$E30:I30,$E$27:I$27)</f>
        <v>42613.671663537316</v>
      </c>
      <c r="K30" s="7">
        <f>_xlfn.FORECAST.ETS(K$27,$E30:J30,$E$27:J$27)</f>
        <v>44036.167863863549</v>
      </c>
      <c r="L30" s="7">
        <f>_xlfn.FORECAST.ETS(L$27,$E30:K30,$E$27:K$27)</f>
        <v>45413.911842965106</v>
      </c>
      <c r="M30" s="7">
        <f>_xlfn.FORECAST.ETS(M$27,$E30:L30,$E$27:L$27)</f>
        <v>46814.567474384923</v>
      </c>
      <c r="N30" s="7">
        <f>_xlfn.FORECAST.ETS(N$27,$E30:M30,$E$27:M$27)</f>
        <v>48215.310791421689</v>
      </c>
      <c r="O30" s="7">
        <f>_xlfn.FORECAST.ETS(O$27,$E30:N30,$E$27:N$27)</f>
        <v>49616.147650724932</v>
      </c>
      <c r="P30" s="7">
        <f>_xlfn.FORECAST.ETS(P$27,$E30:O30,$E$27:O$27)</f>
        <v>51017.051728752886</v>
      </c>
      <c r="Q30" s="7">
        <f>_xlfn.FORECAST.ETS(Q$27,$E30:P30,$E$27:P$27)</f>
        <v>52417.99544853883</v>
      </c>
      <c r="R30" s="7">
        <f>_xlfn.FORECAST.ETS(R$27,$E30:Q30,$E$27:Q$27)</f>
        <v>53818.957103207329</v>
      </c>
      <c r="S30" s="7">
        <f>_xlfn.FORECAST.ETS(S$27,$E30:R30,$E$27:R$27)</f>
        <v>55219.921179946665</v>
      </c>
      <c r="T30" s="7">
        <f>_xlfn.FORECAST.ETS(T$27,$E30:S30,$E$27:S$27)</f>
        <v>56620.877094019284</v>
      </c>
    </row>
    <row r="31" spans="1:20" x14ac:dyDescent="0.25">
      <c r="B31" s="3">
        <v>11260</v>
      </c>
      <c r="C31" s="4" t="s">
        <v>5</v>
      </c>
      <c r="D31" t="s">
        <v>11</v>
      </c>
      <c r="E31" s="7">
        <v>87942</v>
      </c>
      <c r="F31" s="7">
        <v>85224</v>
      </c>
      <c r="G31" s="7">
        <v>82469</v>
      </c>
      <c r="H31" s="7">
        <v>81005</v>
      </c>
      <c r="I31" s="7">
        <f>_xlfn.FORECAST.ETS(I$27,$E31:H31,$E$27:H$27)</f>
        <v>78427.891551870402</v>
      </c>
      <c r="J31" s="7">
        <f>_xlfn.FORECAST.ETS(J$27,$E31:I31,$E$27:I$27)</f>
        <v>76178.043433908766</v>
      </c>
      <c r="K31" s="7">
        <f>_xlfn.FORECAST.ETS(K$27,$E31:J31,$E$27:J$27)</f>
        <v>73912.46503670323</v>
      </c>
      <c r="L31" s="7">
        <f>_xlfn.FORECAST.ETS(L$27,$E31:K31,$E$27:K$27)</f>
        <v>71611.910305970319</v>
      </c>
      <c r="M31" s="7">
        <f>_xlfn.FORECAST.ETS(M$27,$E31:L31,$E$27:L$27)</f>
        <v>69331.893003484322</v>
      </c>
      <c r="N31" s="7">
        <f>_xlfn.FORECAST.ETS(N$27,$E31:M31,$E$27:M$27)</f>
        <v>67050.574891618191</v>
      </c>
      <c r="O31" s="7">
        <f>_xlfn.FORECAST.ETS(O$27,$E31:N31,$E$27:N$27)</f>
        <v>64768.400572645376</v>
      </c>
      <c r="P31" s="7">
        <f>_xlfn.FORECAST.ETS(P$27,$E31:O31,$E$27:O$27)</f>
        <v>62480.728984662957</v>
      </c>
      <c r="Q31" s="7">
        <f>_xlfn.FORECAST.ETS(Q$27,$E31:P31,$E$27:P$27)</f>
        <v>60196.664077393398</v>
      </c>
      <c r="R31" s="7">
        <f>_xlfn.FORECAST.ETS(R$27,$E31:Q31,$E$27:Q$27)</f>
        <v>57912.678103935665</v>
      </c>
      <c r="S31" s="7">
        <f>_xlfn.FORECAST.ETS(S$27,$E31:R31,$E$27:R$27)</f>
        <v>55628.736825287509</v>
      </c>
      <c r="T31" s="7">
        <f>_xlfn.FORECAST.ETS(T$27,$E31:S31,$E$27:S$27)</f>
        <v>53344.816264503774</v>
      </c>
    </row>
    <row r="32" spans="1:20" x14ac:dyDescent="0.25">
      <c r="B32" s="3">
        <v>11263</v>
      </c>
      <c r="C32" s="4" t="s">
        <v>6</v>
      </c>
      <c r="D32" s="1" t="s">
        <v>14</v>
      </c>
      <c r="E32" s="7">
        <v>92622</v>
      </c>
      <c r="F32" s="7">
        <v>90005</v>
      </c>
      <c r="G32" s="7">
        <v>87556</v>
      </c>
      <c r="H32" s="7">
        <v>84522</v>
      </c>
      <c r="I32" s="7">
        <f>_xlfn.FORECAST.ETS(I$27,$E32:H32,$E$27:H$27)</f>
        <v>81916.876517986253</v>
      </c>
      <c r="J32" s="7">
        <f>_xlfn.FORECAST.ETS(J$27,$E32:I32,$E$27:I$27)</f>
        <v>79206.407798523505</v>
      </c>
      <c r="K32" s="7">
        <f>_xlfn.FORECAST.ETS(K$27,$E32:J32,$E$27:J$27)</f>
        <v>76483.449900994485</v>
      </c>
      <c r="L32" s="7">
        <f>_xlfn.FORECAST.ETS(L$27,$E32:K32,$E$27:K$27)</f>
        <v>73792.487928073344</v>
      </c>
      <c r="M32" s="7">
        <f>_xlfn.FORECAST.ETS(M$27,$E32:L32,$E$27:L$27)</f>
        <v>71086.197541592934</v>
      </c>
      <c r="N32" s="7">
        <f>_xlfn.FORECAST.ETS(N$27,$E32:M32,$E$27:M$27)</f>
        <v>68267.760676605714</v>
      </c>
      <c r="O32" s="7">
        <f>_xlfn.FORECAST.ETS(O$27,$E32:N32,$E$27:N$27)</f>
        <v>65623.680287821815</v>
      </c>
      <c r="P32" s="7">
        <f>_xlfn.FORECAST.ETS(P$27,$E32:O32,$E$27:O$27)</f>
        <v>62955.10938603519</v>
      </c>
      <c r="Q32" s="7">
        <f>_xlfn.FORECAST.ETS(Q$27,$E32:P32,$E$27:P$27)</f>
        <v>60216.206521543558</v>
      </c>
      <c r="R32" s="7">
        <f>_xlfn.FORECAST.ETS(R$27,$E32:Q32,$E$27:Q$27)</f>
        <v>57505.992999262417</v>
      </c>
      <c r="S32" s="7">
        <f>_xlfn.FORECAST.ETS(S$27,$E32:R32,$E$27:R$27)</f>
        <v>54795.850819817926</v>
      </c>
      <c r="T32" s="7">
        <f>_xlfn.FORECAST.ETS(T$27,$E32:S32,$E$27:S$27)</f>
        <v>51987.349634165374</v>
      </c>
    </row>
    <row r="33" spans="1:20" x14ac:dyDescent="0.25">
      <c r="B33" s="3">
        <v>11264</v>
      </c>
      <c r="C33" s="4" t="s">
        <v>6</v>
      </c>
      <c r="D33" s="1" t="s">
        <v>15</v>
      </c>
      <c r="E33" s="7">
        <v>27416</v>
      </c>
      <c r="F33" s="7">
        <v>26554</v>
      </c>
      <c r="G33" s="7">
        <v>24330</v>
      </c>
      <c r="H33" s="7">
        <v>22338</v>
      </c>
      <c r="I33" s="7">
        <f>_xlfn.FORECAST.ETS(I$27,$E33:H33,$E$27:H$27)</f>
        <v>20784.676716073132</v>
      </c>
      <c r="J33" s="7">
        <f>_xlfn.FORECAST.ETS(J$27,$E33:I33,$E$27:I$27)</f>
        <v>18966.367329335342</v>
      </c>
      <c r="K33" s="7">
        <f>_xlfn.FORECAST.ETS(K$27,$E33:J33,$E$27:J$27)</f>
        <v>17138.76514187401</v>
      </c>
      <c r="L33" s="7">
        <f>_xlfn.FORECAST.ETS(L$27,$E33:K33,$E$27:K$27)</f>
        <v>15398.473034721901</v>
      </c>
      <c r="M33" s="7">
        <f>_xlfn.FORECAST.ETS(M$27,$E33:L33,$E$27:L$27)</f>
        <v>13625.108196978312</v>
      </c>
      <c r="N33" s="7">
        <f>_xlfn.FORECAST.ETS(N$27,$E33:M33,$E$27:M$27)</f>
        <v>11459.690736972156</v>
      </c>
      <c r="O33" s="7">
        <f>_xlfn.FORECAST.ETS(O$27,$E33:N33,$E$27:N$27)</f>
        <v>10235.713818413371</v>
      </c>
      <c r="P33" s="7">
        <f>_xlfn.FORECAST.ETS(P$27,$E33:O33,$E$27:O$27)</f>
        <v>8271.2763181428709</v>
      </c>
      <c r="Q33" s="7">
        <f>_xlfn.FORECAST.ETS(Q$27,$E33:P33,$E$27:P$27)</f>
        <v>6108.360191654755</v>
      </c>
      <c r="R33" s="7">
        <f>_xlfn.FORECAST.ETS(R$27,$E33:Q33,$E$27:Q$27)</f>
        <v>4830.7593279369239</v>
      </c>
      <c r="S33" s="7">
        <f>_xlfn.FORECAST.ETS(S$27,$E33:R33,$E$27:R$27)</f>
        <v>2887.1373473223803</v>
      </c>
      <c r="T33" s="7">
        <f>_xlfn.FORECAST.ETS(T$27,$E33:S33,$E$27:S$27)</f>
        <v>825.90661841332144</v>
      </c>
    </row>
    <row r="34" spans="1:20" x14ac:dyDescent="0.25">
      <c r="B34" s="3">
        <v>11267</v>
      </c>
      <c r="C34" s="4" t="s">
        <v>7</v>
      </c>
      <c r="D34" s="1" t="s">
        <v>12</v>
      </c>
      <c r="E34" s="7">
        <v>41696</v>
      </c>
      <c r="F34" s="7">
        <v>41696</v>
      </c>
      <c r="G34" s="7">
        <v>42558</v>
      </c>
      <c r="H34" s="7">
        <v>45448</v>
      </c>
      <c r="I34" s="7">
        <f>_xlfn.FORECAST.ETS(I$27,$E34:H34,$E$27:H$27)</f>
        <v>46256.946961125286</v>
      </c>
      <c r="J34" s="7">
        <f>_xlfn.FORECAST.ETS(J$27,$E34:I34,$E$27:I$27)</f>
        <v>47704.637988354101</v>
      </c>
      <c r="K34" s="7">
        <f>_xlfn.FORECAST.ETS(K$27,$E34:J34,$E$27:J$27)</f>
        <v>49150.17146376762</v>
      </c>
      <c r="L34" s="7">
        <f>_xlfn.FORECAST.ETS(L$27,$E34:K34,$E$27:K$27)</f>
        <v>50452.328668162765</v>
      </c>
      <c r="M34" s="7">
        <f>_xlfn.FORECAST.ETS(M$27,$E34:L34,$E$27:L$27)</f>
        <v>51824.34271783955</v>
      </c>
      <c r="N34" s="7">
        <f>_xlfn.FORECAST.ETS(N$27,$E34:M34,$E$27:M$27)</f>
        <v>53196.599428618836</v>
      </c>
      <c r="O34" s="7">
        <f>_xlfn.FORECAST.ETS(O$27,$E34:N34,$E$27:N$27)</f>
        <v>54569.117070491142</v>
      </c>
      <c r="P34" s="7">
        <f>_xlfn.FORECAST.ETS(P$27,$E34:O34,$E$27:O$27)</f>
        <v>55941.820354912226</v>
      </c>
      <c r="Q34" s="7">
        <f>_xlfn.FORECAST.ETS(Q$27,$E34:P34,$E$27:P$27)</f>
        <v>57314.630177163723</v>
      </c>
      <c r="R34" s="7">
        <f>_xlfn.FORECAST.ETS(R$27,$E34:Q34,$E$27:Q$27)</f>
        <v>58687.484315531168</v>
      </c>
      <c r="S34" s="7">
        <f>_xlfn.FORECAST.ETS(S$27,$E34:R34,$E$27:R$27)</f>
        <v>60060.338401168861</v>
      </c>
      <c r="T34" s="7">
        <f>_xlfn.FORECAST.ETS(T$27,$E34:S34,$E$27:S$27)</f>
        <v>61433.162269303619</v>
      </c>
    </row>
    <row r="35" spans="1:20" x14ac:dyDescent="0.25">
      <c r="B35" s="3">
        <v>11268</v>
      </c>
      <c r="C35" s="4" t="s">
        <v>7</v>
      </c>
      <c r="D35" s="1" t="s">
        <v>13</v>
      </c>
      <c r="E35" s="7">
        <v>60285</v>
      </c>
      <c r="F35" s="7">
        <v>61225</v>
      </c>
      <c r="G35" s="7">
        <v>68994</v>
      </c>
      <c r="H35" s="7">
        <v>72410</v>
      </c>
      <c r="I35" s="7">
        <f>_xlfn.FORECAST.ETS(I$27,$E35:H35,$E$27:H$27)</f>
        <v>76705.606550771539</v>
      </c>
      <c r="J35" s="7">
        <f>_xlfn.FORECAST.ETS(J$27,$E35:I35,$E$27:I$27)</f>
        <v>80731.326035333477</v>
      </c>
      <c r="K35" s="7">
        <f>_xlfn.FORECAST.ETS(K$27,$E35:J35,$E$27:J$27)</f>
        <v>87089.65779041838</v>
      </c>
      <c r="L35" s="7">
        <f>_xlfn.FORECAST.ETS(L$27,$E35:K35,$E$27:K$27)</f>
        <v>90875.730395796971</v>
      </c>
      <c r="M35" s="7">
        <f>_xlfn.FORECAST.ETS(M$27,$E35:L35,$E$27:L$27)</f>
        <v>96948.062430063554</v>
      </c>
      <c r="N35" s="7">
        <f>_xlfn.FORECAST.ETS(N$27,$E35:M35,$E$27:M$27)</f>
        <v>100800.21730959584</v>
      </c>
      <c r="O35" s="7">
        <f>_xlfn.FORECAST.ETS(O$27,$E35:N35,$E$27:N$27)</f>
        <v>106865.98156559149</v>
      </c>
      <c r="P35" s="7">
        <f>_xlfn.FORECAST.ETS(P$27,$E35:O35,$E$27:O$27)</f>
        <v>111036.0335243259</v>
      </c>
      <c r="Q35" s="7">
        <f>_xlfn.FORECAST.ETS(Q$27,$E35:P35,$E$27:P$27)</f>
        <v>117072.50922037291</v>
      </c>
      <c r="R35" s="7">
        <f>_xlfn.FORECAST.ETS(R$27,$E35:Q35,$E$27:Q$27)</f>
        <v>120138.49910544444</v>
      </c>
      <c r="S35" s="7">
        <f>_xlfn.FORECAST.ETS(S$27,$E35:R35,$E$27:R$27)</f>
        <v>126916.63408933014</v>
      </c>
      <c r="T35" s="7">
        <f>_xlfn.FORECAST.ETS(T$27,$E35:S35,$E$27:S$27)</f>
        <v>131085.87909406843</v>
      </c>
    </row>
    <row r="37" spans="1:20" x14ac:dyDescent="0.25">
      <c r="B37" s="15" t="s">
        <v>20</v>
      </c>
      <c r="C37" s="30"/>
      <c r="D37" s="30"/>
      <c r="E37" s="33" t="s">
        <v>16</v>
      </c>
      <c r="F37" s="33"/>
      <c r="G37" s="33"/>
      <c r="H37" s="33"/>
      <c r="I37" s="15" t="s">
        <v>17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1:20" x14ac:dyDescent="0.25">
      <c r="B38" s="16" t="s">
        <v>1</v>
      </c>
      <c r="C38" s="16" t="s">
        <v>3</v>
      </c>
      <c r="D38" s="16" t="s">
        <v>2</v>
      </c>
      <c r="E38" s="12">
        <v>45559</v>
      </c>
      <c r="F38" s="12">
        <v>45589</v>
      </c>
      <c r="G38" s="12">
        <v>45620</v>
      </c>
      <c r="H38" s="12">
        <v>45650</v>
      </c>
      <c r="I38" s="12">
        <v>45681</v>
      </c>
      <c r="J38" s="12">
        <v>45712</v>
      </c>
      <c r="K38" s="12">
        <v>45740</v>
      </c>
      <c r="L38" s="12">
        <v>45771</v>
      </c>
      <c r="M38" s="12">
        <v>45801</v>
      </c>
      <c r="N38" s="12">
        <v>45832</v>
      </c>
      <c r="O38" s="12">
        <v>45862</v>
      </c>
      <c r="P38" s="12">
        <v>45893</v>
      </c>
      <c r="Q38" s="12">
        <v>45924</v>
      </c>
      <c r="R38" s="12">
        <v>45954</v>
      </c>
      <c r="S38" s="12">
        <v>45985</v>
      </c>
      <c r="T38" s="12">
        <v>46015</v>
      </c>
    </row>
    <row r="39" spans="1:20" x14ac:dyDescent="0.25">
      <c r="B39" s="3">
        <v>11256</v>
      </c>
      <c r="C39" s="4" t="s">
        <v>4</v>
      </c>
      <c r="D39" t="s">
        <v>8</v>
      </c>
      <c r="E39" s="7">
        <v>22992</v>
      </c>
      <c r="F39" s="7">
        <v>24001</v>
      </c>
      <c r="G39" s="7">
        <v>26558</v>
      </c>
      <c r="H39" s="7">
        <v>25446</v>
      </c>
      <c r="I39" s="7">
        <f>I28*(1+$C$2)</f>
        <v>34917.689482945338</v>
      </c>
      <c r="J39" s="7">
        <f t="shared" ref="J39:T39" si="8">J28*(1+$C$2)</f>
        <v>34999.371639389101</v>
      </c>
      <c r="K39" s="7">
        <f t="shared" si="8"/>
        <v>37128.285881616714</v>
      </c>
      <c r="L39" s="7">
        <f t="shared" si="8"/>
        <v>37051.861512717493</v>
      </c>
      <c r="M39" s="7">
        <f t="shared" si="8"/>
        <v>39131.751112000558</v>
      </c>
      <c r="N39" s="7">
        <f t="shared" si="8"/>
        <v>39145.234959643334</v>
      </c>
      <c r="O39" s="7">
        <f t="shared" si="8"/>
        <v>41173.846309436871</v>
      </c>
      <c r="P39" s="7">
        <f t="shared" si="8"/>
        <v>41188.47055175525</v>
      </c>
      <c r="Q39" s="7">
        <f t="shared" si="8"/>
        <v>43213.245401582913</v>
      </c>
      <c r="R39" s="7">
        <f t="shared" si="8"/>
        <v>43226.056905783211</v>
      </c>
      <c r="S39" s="7">
        <f t="shared" si="8"/>
        <v>45249.761118855102</v>
      </c>
      <c r="T39" s="7">
        <f t="shared" si="8"/>
        <v>45261.931623797616</v>
      </c>
    </row>
    <row r="40" spans="1:20" x14ac:dyDescent="0.25">
      <c r="B40" s="3">
        <v>11257</v>
      </c>
      <c r="C40" s="4" t="s">
        <v>4</v>
      </c>
      <c r="D40" t="s">
        <v>9</v>
      </c>
      <c r="E40" s="7">
        <v>53326</v>
      </c>
      <c r="F40" s="7">
        <v>54223</v>
      </c>
      <c r="G40" s="7">
        <v>51000</v>
      </c>
      <c r="H40" s="7">
        <v>50000</v>
      </c>
      <c r="I40" s="7">
        <f t="shared" ref="I40:T40" si="9">I29*(1+$C$2)</f>
        <v>63516.106727143895</v>
      </c>
      <c r="J40" s="7">
        <f t="shared" si="9"/>
        <v>61861.756321448585</v>
      </c>
      <c r="K40" s="7">
        <f t="shared" si="9"/>
        <v>59597.226962251349</v>
      </c>
      <c r="L40" s="7">
        <f t="shared" si="9"/>
        <v>57968.808250173221</v>
      </c>
      <c r="M40" s="7">
        <f t="shared" si="9"/>
        <v>55733.150871639802</v>
      </c>
      <c r="N40" s="7">
        <f t="shared" si="9"/>
        <v>54157.3429104795</v>
      </c>
      <c r="O40" s="7">
        <f t="shared" si="9"/>
        <v>51611.557865400428</v>
      </c>
      <c r="P40" s="7">
        <f t="shared" si="9"/>
        <v>50085.46051144474</v>
      </c>
      <c r="Q40" s="7">
        <f t="shared" si="9"/>
        <v>47595.578576690277</v>
      </c>
      <c r="R40" s="7">
        <f t="shared" si="9"/>
        <v>45999.188918201675</v>
      </c>
      <c r="S40" s="7">
        <f t="shared" si="9"/>
        <v>43766.072153106034</v>
      </c>
      <c r="T40" s="7">
        <f t="shared" si="9"/>
        <v>42015.045406517813</v>
      </c>
    </row>
    <row r="41" spans="1:20" x14ac:dyDescent="0.25">
      <c r="B41" s="3">
        <v>11259</v>
      </c>
      <c r="C41" s="4" t="s">
        <v>5</v>
      </c>
      <c r="D41" t="s">
        <v>10</v>
      </c>
      <c r="E41" s="7">
        <v>35888</v>
      </c>
      <c r="F41" s="7">
        <v>36880</v>
      </c>
      <c r="G41" s="7">
        <v>37995</v>
      </c>
      <c r="H41" s="7">
        <v>40000</v>
      </c>
      <c r="I41" s="7">
        <f t="shared" ref="I41:T41" si="10">I30*(1+$C$2)</f>
        <v>53539.162561765719</v>
      </c>
      <c r="J41" s="7">
        <f t="shared" si="10"/>
        <v>55397.773162598511</v>
      </c>
      <c r="K41" s="7">
        <f t="shared" si="10"/>
        <v>57247.018223022613</v>
      </c>
      <c r="L41" s="7">
        <f t="shared" si="10"/>
        <v>59038.085395854643</v>
      </c>
      <c r="M41" s="7">
        <f t="shared" si="10"/>
        <v>60858.937716700399</v>
      </c>
      <c r="N41" s="7">
        <f t="shared" si="10"/>
        <v>62679.904028848199</v>
      </c>
      <c r="O41" s="7">
        <f t="shared" si="10"/>
        <v>64500.991945942413</v>
      </c>
      <c r="P41" s="7">
        <f t="shared" si="10"/>
        <v>66322.167247378748</v>
      </c>
      <c r="Q41" s="7">
        <f t="shared" si="10"/>
        <v>68143.394083100487</v>
      </c>
      <c r="R41" s="7">
        <f t="shared" si="10"/>
        <v>69964.644234169537</v>
      </c>
      <c r="S41" s="7">
        <f t="shared" si="10"/>
        <v>71785.897533930663</v>
      </c>
      <c r="T41" s="7">
        <f t="shared" si="10"/>
        <v>73607.140222225076</v>
      </c>
    </row>
    <row r="42" spans="1:20" x14ac:dyDescent="0.25">
      <c r="B42" s="3">
        <v>11260</v>
      </c>
      <c r="C42" s="4" t="s">
        <v>5</v>
      </c>
      <c r="D42" t="s">
        <v>11</v>
      </c>
      <c r="E42" s="7">
        <v>87942</v>
      </c>
      <c r="F42" s="7">
        <v>85224</v>
      </c>
      <c r="G42" s="7">
        <v>82469</v>
      </c>
      <c r="H42" s="7">
        <v>81005</v>
      </c>
      <c r="I42" s="7">
        <f t="shared" ref="I42:T42" si="11">I31*(1+$C$2)</f>
        <v>101956.25901743153</v>
      </c>
      <c r="J42" s="7">
        <f t="shared" si="11"/>
        <v>99031.456464081406</v>
      </c>
      <c r="K42" s="7">
        <f t="shared" si="11"/>
        <v>96086.204547714209</v>
      </c>
      <c r="L42" s="7">
        <f t="shared" si="11"/>
        <v>93095.483397761418</v>
      </c>
      <c r="M42" s="7">
        <f t="shared" si="11"/>
        <v>90131.460904529624</v>
      </c>
      <c r="N42" s="7">
        <f t="shared" si="11"/>
        <v>87165.747359103654</v>
      </c>
      <c r="O42" s="7">
        <f t="shared" si="11"/>
        <v>84198.92074443899</v>
      </c>
      <c r="P42" s="7">
        <f t="shared" si="11"/>
        <v>81224.947680061843</v>
      </c>
      <c r="Q42" s="7">
        <f t="shared" si="11"/>
        <v>78255.663300611413</v>
      </c>
      <c r="R42" s="7">
        <f t="shared" si="11"/>
        <v>75286.481535116371</v>
      </c>
      <c r="S42" s="7">
        <f t="shared" si="11"/>
        <v>72317.357872873763</v>
      </c>
      <c r="T42" s="7">
        <f t="shared" si="11"/>
        <v>69348.261143854907</v>
      </c>
    </row>
    <row r="43" spans="1:20" x14ac:dyDescent="0.25">
      <c r="B43" s="3">
        <v>11263</v>
      </c>
      <c r="C43" s="4" t="s">
        <v>6</v>
      </c>
      <c r="D43" s="1" t="s">
        <v>14</v>
      </c>
      <c r="E43" s="7">
        <v>92622</v>
      </c>
      <c r="F43" s="7">
        <v>90005</v>
      </c>
      <c r="G43" s="7">
        <v>87556</v>
      </c>
      <c r="H43" s="7">
        <v>84522</v>
      </c>
      <c r="I43" s="7">
        <f t="shared" ref="I43:T43" si="12">I32*(1+$C$2)</f>
        <v>106491.93947338214</v>
      </c>
      <c r="J43" s="7">
        <f t="shared" si="12"/>
        <v>102968.33013808056</v>
      </c>
      <c r="K43" s="7">
        <f t="shared" si="12"/>
        <v>99428.484871292836</v>
      </c>
      <c r="L43" s="7">
        <f t="shared" si="12"/>
        <v>95930.234306495346</v>
      </c>
      <c r="M43" s="7">
        <f t="shared" si="12"/>
        <v>92412.056804070817</v>
      </c>
      <c r="N43" s="7">
        <f t="shared" si="12"/>
        <v>88748.088879587434</v>
      </c>
      <c r="O43" s="7">
        <f t="shared" si="12"/>
        <v>85310.784374168361</v>
      </c>
      <c r="P43" s="7">
        <f t="shared" si="12"/>
        <v>81841.642201845752</v>
      </c>
      <c r="Q43" s="7">
        <f t="shared" si="12"/>
        <v>78281.068478006622</v>
      </c>
      <c r="R43" s="7">
        <f t="shared" si="12"/>
        <v>74757.790899041138</v>
      </c>
      <c r="S43" s="7">
        <f t="shared" si="12"/>
        <v>71234.606065763306</v>
      </c>
      <c r="T43" s="7">
        <f t="shared" si="12"/>
        <v>67583.554524414983</v>
      </c>
    </row>
    <row r="44" spans="1:20" x14ac:dyDescent="0.25">
      <c r="B44" s="3">
        <v>11264</v>
      </c>
      <c r="C44" s="4" t="s">
        <v>6</v>
      </c>
      <c r="D44" s="1" t="s">
        <v>15</v>
      </c>
      <c r="E44" s="7">
        <v>27416</v>
      </c>
      <c r="F44" s="7">
        <v>26554</v>
      </c>
      <c r="G44" s="7">
        <v>24330</v>
      </c>
      <c r="H44" s="7">
        <v>22338</v>
      </c>
      <c r="I44" s="7">
        <f t="shared" ref="I44:T44" si="13">I33*(1+$C$2)</f>
        <v>27020.079730895071</v>
      </c>
      <c r="J44" s="7">
        <f t="shared" si="13"/>
        <v>24656.277528135946</v>
      </c>
      <c r="K44" s="7">
        <f t="shared" si="13"/>
        <v>22280.394684436214</v>
      </c>
      <c r="L44" s="7">
        <f t="shared" si="13"/>
        <v>20018.014945138471</v>
      </c>
      <c r="M44" s="7">
        <f t="shared" si="13"/>
        <v>17712.640656071806</v>
      </c>
      <c r="N44" s="7">
        <f t="shared" si="13"/>
        <v>14897.597958063803</v>
      </c>
      <c r="O44" s="7">
        <f t="shared" si="13"/>
        <v>13306.427963937384</v>
      </c>
      <c r="P44" s="7">
        <f t="shared" si="13"/>
        <v>10752.659213585732</v>
      </c>
      <c r="Q44" s="7">
        <f t="shared" si="13"/>
        <v>7940.8682491511818</v>
      </c>
      <c r="R44" s="7">
        <f t="shared" si="13"/>
        <v>6279.9871263180012</v>
      </c>
      <c r="S44" s="7">
        <f t="shared" si="13"/>
        <v>3753.2785515190944</v>
      </c>
      <c r="T44" s="7">
        <f t="shared" si="13"/>
        <v>1073.6786039373178</v>
      </c>
    </row>
    <row r="45" spans="1:20" x14ac:dyDescent="0.25">
      <c r="B45" s="3">
        <v>11267</v>
      </c>
      <c r="C45" s="4" t="s">
        <v>7</v>
      </c>
      <c r="D45" s="1" t="s">
        <v>12</v>
      </c>
      <c r="E45" s="7">
        <v>41696</v>
      </c>
      <c r="F45" s="7">
        <v>41696</v>
      </c>
      <c r="G45" s="7">
        <v>42558</v>
      </c>
      <c r="H45" s="7">
        <v>45448</v>
      </c>
      <c r="I45" s="7">
        <f t="shared" ref="I45:T45" si="14">I34*(1+$C$2)</f>
        <v>60134.031049462872</v>
      </c>
      <c r="J45" s="7">
        <f t="shared" si="14"/>
        <v>62016.029384860332</v>
      </c>
      <c r="K45" s="7">
        <f t="shared" si="14"/>
        <v>63895.222902897905</v>
      </c>
      <c r="L45" s="7">
        <f t="shared" si="14"/>
        <v>65588.027268611593</v>
      </c>
      <c r="M45" s="7">
        <f t="shared" si="14"/>
        <v>67371.645533191419</v>
      </c>
      <c r="N45" s="7">
        <f t="shared" si="14"/>
        <v>69155.579257204488</v>
      </c>
      <c r="O45" s="7">
        <f t="shared" si="14"/>
        <v>70939.852191638493</v>
      </c>
      <c r="P45" s="7">
        <f t="shared" si="14"/>
        <v>72724.3664613859</v>
      </c>
      <c r="Q45" s="7">
        <f t="shared" si="14"/>
        <v>74509.019230312842</v>
      </c>
      <c r="R45" s="7">
        <f t="shared" si="14"/>
        <v>76293.729610190523</v>
      </c>
      <c r="S45" s="7">
        <f t="shared" si="14"/>
        <v>78078.439921519515</v>
      </c>
      <c r="T45" s="7">
        <f t="shared" si="14"/>
        <v>79863.110950094706</v>
      </c>
    </row>
    <row r="46" spans="1:20" x14ac:dyDescent="0.25">
      <c r="A46" t="s">
        <v>34</v>
      </c>
      <c r="B46" s="3">
        <v>11268</v>
      </c>
      <c r="C46" s="4" t="s">
        <v>7</v>
      </c>
      <c r="D46" s="1" t="s">
        <v>13</v>
      </c>
      <c r="E46" s="7">
        <v>60285</v>
      </c>
      <c r="F46" s="7">
        <v>61225</v>
      </c>
      <c r="G46" s="7">
        <v>68994</v>
      </c>
      <c r="H46" s="7">
        <v>72410</v>
      </c>
      <c r="I46" s="7">
        <f t="shared" ref="I46:T46" si="15">I35*(1+$C$2)</f>
        <v>99717.288516002998</v>
      </c>
      <c r="J46" s="7">
        <f t="shared" si="15"/>
        <v>104950.72384593352</v>
      </c>
      <c r="K46" s="7">
        <f t="shared" si="15"/>
        <v>113216.55512754389</v>
      </c>
      <c r="L46" s="7">
        <f t="shared" si="15"/>
        <v>118138.44951453607</v>
      </c>
      <c r="M46" s="7">
        <f t="shared" si="15"/>
        <v>126032.48115908263</v>
      </c>
      <c r="N46" s="7">
        <f t="shared" si="15"/>
        <v>131040.2825024746</v>
      </c>
      <c r="O46" s="7">
        <f t="shared" si="15"/>
        <v>138925.77603526894</v>
      </c>
      <c r="P46" s="7">
        <f t="shared" si="15"/>
        <v>144346.84358162369</v>
      </c>
      <c r="Q46" s="7">
        <f t="shared" si="15"/>
        <v>152194.26198648478</v>
      </c>
      <c r="R46" s="7">
        <f t="shared" si="15"/>
        <v>156180.04883707777</v>
      </c>
      <c r="S46" s="7">
        <f t="shared" si="15"/>
        <v>164991.62431612919</v>
      </c>
      <c r="T46" s="7">
        <f t="shared" si="15"/>
        <v>170411.64282228897</v>
      </c>
    </row>
    <row r="47" spans="1:20" x14ac:dyDescent="0.25"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9:20" x14ac:dyDescent="0.25"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36F4-FE34-4C45-9B7A-00D49BFFA63E}">
  <dimension ref="A2:O40"/>
  <sheetViews>
    <sheetView zoomScale="115" zoomScaleNormal="115" workbookViewId="0">
      <selection activeCell="E2" sqref="E2"/>
    </sheetView>
  </sheetViews>
  <sheetFormatPr defaultColWidth="11.125" defaultRowHeight="15.75" x14ac:dyDescent="0.25"/>
  <cols>
    <col min="1" max="1" width="4.875" customWidth="1"/>
    <col min="2" max="2" width="32.5" customWidth="1"/>
    <col min="3" max="14" width="9.125" customWidth="1"/>
  </cols>
  <sheetData>
    <row r="2" spans="1:15" x14ac:dyDescent="0.25">
      <c r="B2" s="5" t="s">
        <v>31</v>
      </c>
      <c r="C2" s="17">
        <v>1</v>
      </c>
    </row>
    <row r="4" spans="1:15" x14ac:dyDescent="0.25">
      <c r="A4" t="s">
        <v>34</v>
      </c>
      <c r="B4" s="11" t="s">
        <v>32</v>
      </c>
      <c r="C4" s="6">
        <v>45658</v>
      </c>
      <c r="D4" s="6">
        <v>45689</v>
      </c>
      <c r="E4" s="6">
        <v>45717</v>
      </c>
      <c r="F4" s="6">
        <v>45748</v>
      </c>
      <c r="G4" s="6">
        <v>45778</v>
      </c>
      <c r="H4" s="6">
        <v>45809</v>
      </c>
      <c r="I4" s="6">
        <v>45839</v>
      </c>
      <c r="J4" s="6">
        <v>45870</v>
      </c>
      <c r="K4" s="6">
        <v>45901</v>
      </c>
      <c r="L4" s="6">
        <v>45931</v>
      </c>
      <c r="M4" s="6">
        <v>45962</v>
      </c>
      <c r="N4" s="6">
        <v>45992</v>
      </c>
    </row>
    <row r="5" spans="1:15" x14ac:dyDescent="0.25">
      <c r="B5" s="13" t="s">
        <v>33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5" x14ac:dyDescent="0.25">
      <c r="B6" t="s">
        <v>21</v>
      </c>
      <c r="C6" s="8">
        <f>C31</f>
        <v>492926.1640982161</v>
      </c>
      <c r="D6" s="8">
        <f t="shared" ref="D6:N6" si="0">D31</f>
        <v>485050.72540388722</v>
      </c>
      <c r="E6" s="8">
        <f t="shared" si="0"/>
        <v>484371.60662583157</v>
      </c>
      <c r="F6" s="8">
        <f t="shared" si="0"/>
        <v>475834.27704339882</v>
      </c>
      <c r="G6" s="8">
        <f t="shared" si="0"/>
        <v>475054.23993346049</v>
      </c>
      <c r="H6" s="8">
        <f t="shared" si="0"/>
        <v>467230.60148807667</v>
      </c>
      <c r="I6" s="8">
        <f t="shared" si="0"/>
        <v>597538.00288595224</v>
      </c>
      <c r="J6" s="8">
        <f t="shared" si="0"/>
        <v>587804.11604700785</v>
      </c>
      <c r="K6" s="8">
        <f t="shared" si="0"/>
        <v>584808.82642007933</v>
      </c>
      <c r="L6" s="8">
        <f t="shared" si="0"/>
        <v>574610.58310646261</v>
      </c>
      <c r="M6" s="8">
        <f t="shared" si="0"/>
        <v>573261.96627142967</v>
      </c>
      <c r="N6" s="8">
        <f t="shared" si="0"/>
        <v>562063.73207523138</v>
      </c>
    </row>
    <row r="7" spans="1:15" x14ac:dyDescent="0.25">
      <c r="B7" t="s">
        <v>22</v>
      </c>
      <c r="C7" s="8">
        <f>C35</f>
        <v>147877.84922946483</v>
      </c>
      <c r="D7" s="8">
        <f t="shared" ref="D7:N7" si="1">D35</f>
        <v>145515.21762116617</v>
      </c>
      <c r="E7" s="8">
        <f t="shared" si="1"/>
        <v>145311.48198774946</v>
      </c>
      <c r="F7" s="8">
        <f t="shared" si="1"/>
        <v>142750.28311301963</v>
      </c>
      <c r="G7" s="8">
        <f t="shared" si="1"/>
        <v>142516.27198003815</v>
      </c>
      <c r="H7" s="8">
        <f t="shared" si="1"/>
        <v>140169.18044642301</v>
      </c>
      <c r="I7" s="8">
        <f t="shared" si="1"/>
        <v>179261.40086578566</v>
      </c>
      <c r="J7" s="8">
        <f t="shared" si="1"/>
        <v>176341.23481410235</v>
      </c>
      <c r="K7" s="8">
        <f t="shared" si="1"/>
        <v>175442.64792602378</v>
      </c>
      <c r="L7" s="8">
        <f t="shared" si="1"/>
        <v>172383.17493193879</v>
      </c>
      <c r="M7" s="8">
        <f t="shared" si="1"/>
        <v>171978.5898814289</v>
      </c>
      <c r="N7" s="8">
        <f t="shared" si="1"/>
        <v>168619.11962256941</v>
      </c>
    </row>
    <row r="8" spans="1:15" x14ac:dyDescent="0.25">
      <c r="B8" s="14" t="s">
        <v>23</v>
      </c>
      <c r="C8" s="24">
        <f>C6-C7</f>
        <v>345048.31486875127</v>
      </c>
      <c r="D8" s="24">
        <f t="shared" ref="D8:N8" si="2">D6-D7</f>
        <v>339535.50778272108</v>
      </c>
      <c r="E8" s="24">
        <f t="shared" si="2"/>
        <v>339060.12463808211</v>
      </c>
      <c r="F8" s="24">
        <f t="shared" si="2"/>
        <v>333083.99393037916</v>
      </c>
      <c r="G8" s="24">
        <f t="shared" si="2"/>
        <v>332537.96795342234</v>
      </c>
      <c r="H8" s="24">
        <f t="shared" si="2"/>
        <v>327061.42104165367</v>
      </c>
      <c r="I8" s="24">
        <f t="shared" si="2"/>
        <v>418276.60202016658</v>
      </c>
      <c r="J8" s="24">
        <f t="shared" si="2"/>
        <v>411462.88123290549</v>
      </c>
      <c r="K8" s="24">
        <f t="shared" si="2"/>
        <v>409366.17849405552</v>
      </c>
      <c r="L8" s="24">
        <f t="shared" si="2"/>
        <v>402227.40817452385</v>
      </c>
      <c r="M8" s="24">
        <f t="shared" si="2"/>
        <v>401283.37639000081</v>
      </c>
      <c r="N8" s="24">
        <f t="shared" si="2"/>
        <v>393444.61245266197</v>
      </c>
    </row>
    <row r="9" spans="1:15" x14ac:dyDescent="0.25"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 x14ac:dyDescent="0.25">
      <c r="B10" t="s">
        <v>25</v>
      </c>
    </row>
    <row r="11" spans="1:15" x14ac:dyDescent="0.25">
      <c r="B11" s="10" t="str" cm="1">
        <f t="array" ref="B11:B14">_xlfn.UNIQUE('Actual Expenses'!C6:C13)</f>
        <v>Marketing</v>
      </c>
      <c r="C11" s="22">
        <f>SUMIFS(Forecast!I$6:I$13,Forecast!$C$6:$C$13,'Income Statement'!$B11)</f>
        <v>53002.813343894202</v>
      </c>
      <c r="D11" s="22">
        <f>SUMIFS(Forecast!J$6:J$13,Forecast!$C$6:$C$13,'Income Statement'!$B11)</f>
        <v>52155.9919789126</v>
      </c>
      <c r="E11" s="22">
        <f>SUMIFS(Forecast!K$6:K$13,Forecast!$C$6:$C$13,'Income Statement'!$B11)</f>
        <v>52082.968454390488</v>
      </c>
      <c r="F11" s="22">
        <f>SUMIFS(Forecast!L$6:L$13,Forecast!$C$6:$C$13,'Income Statement'!$B11)</f>
        <v>51164.97602617192</v>
      </c>
      <c r="G11" s="22">
        <f>SUMIFS(Forecast!M$6:M$13,Forecast!$C$6:$C$13,'Income Statement'!$B11)</f>
        <v>51081.101068114032</v>
      </c>
      <c r="H11" s="22">
        <f>SUMIFS(Forecast!N$6:N$13,Forecast!$C$6:$C$13,'Income Statement'!$B11)</f>
        <v>50239.849622373833</v>
      </c>
      <c r="I11" s="22">
        <f>SUMIFS(Forecast!O$6:O$13,Forecast!$C$6:$C$13,'Income Statement'!$B11)</f>
        <v>49961.371478758549</v>
      </c>
      <c r="J11" s="22">
        <f>SUMIFS(Forecast!P$6:P$13,Forecast!$C$6:$C$13,'Income Statement'!$B11)</f>
        <v>49147.501341723066</v>
      </c>
      <c r="K11" s="22">
        <f>SUMIFS(Forecast!Q$6:Q$13,Forecast!$C$6:$C$13,'Income Statement'!$B11)</f>
        <v>48897.059065224021</v>
      </c>
      <c r="L11" s="22">
        <f>SUMIFS(Forecast!R$6:R$13,Forecast!$C$6:$C$13,'Income Statement'!$B11)</f>
        <v>48044.363135991851</v>
      </c>
      <c r="M11" s="22">
        <f>SUMIFS(Forecast!S$6:S$13,Forecast!$C$6:$C$13,'Income Statement'!$B11)</f>
        <v>47931.602531055993</v>
      </c>
      <c r="N11" s="22">
        <f>SUMIFS(Forecast!T$6:T$13,Forecast!$C$6:$C$13,'Income Statement'!$B11)</f>
        <v>46995.295324015999</v>
      </c>
      <c r="O11" s="7"/>
    </row>
    <row r="12" spans="1:15" x14ac:dyDescent="0.25">
      <c r="B12" s="10" t="str">
        <v>Engineering</v>
      </c>
      <c r="C12" s="22">
        <f>SUMIFS(Forecast!I$6:I$13,Forecast!$C$6:$C$13,'Income Statement'!$B12)</f>
        <v>83728.303927260044</v>
      </c>
      <c r="D12" s="22">
        <f>SUMIFS(Forecast!J$6:J$13,Forecast!$C$6:$C$13,'Income Statement'!$B12)</f>
        <v>83154.200568212254</v>
      </c>
      <c r="E12" s="22">
        <f>SUMIFS(Forecast!K$6:K$13,Forecast!$C$6:$C$13,'Income Statement'!$B12)</f>
        <v>82564.043030396744</v>
      </c>
      <c r="F12" s="22">
        <f>SUMIFS(Forecast!L$6:L$13,Forecast!$C$6:$C$13,'Income Statement'!$B12)</f>
        <v>81918.075504254797</v>
      </c>
      <c r="G12" s="22">
        <f>SUMIFS(Forecast!M$6:M$13,Forecast!$C$6:$C$13,'Income Statement'!$B12)</f>
        <v>81302.522334508467</v>
      </c>
      <c r="H12" s="22">
        <f>SUMIFS(Forecast!N$6:N$13,Forecast!$C$6:$C$13,'Income Statement'!$B12)</f>
        <v>80686.119978127914</v>
      </c>
      <c r="I12" s="22">
        <f>SUMIFS(Forecast!O$6:O$13,Forecast!$C$6:$C$13,'Income Statement'!$B12)</f>
        <v>80069.183756359213</v>
      </c>
      <c r="J12" s="22">
        <f>SUMIFS(Forecast!P$6:P$13,Forecast!$C$6:$C$13,'Income Statement'!$B12)</f>
        <v>79448.446499391081</v>
      </c>
      <c r="K12" s="22">
        <f>SUMIFS(Forecast!Q$6:Q$13,Forecast!$C$6:$C$13,'Income Statement'!$B12)</f>
        <v>78830.261668152554</v>
      </c>
      <c r="L12" s="22">
        <f>SUMIFS(Forecast!R$6:R$13,Forecast!$C$6:$C$13,'Income Statement'!$B12)</f>
        <v>78212.144645000095</v>
      </c>
      <c r="M12" s="22">
        <f>SUMIFS(Forecast!S$6:S$13,Forecast!$C$6:$C$13,'Income Statement'!$B12)</f>
        <v>77594.060603663922</v>
      </c>
      <c r="N12" s="22">
        <f>SUMIFS(Forecast!T$6:T$13,Forecast!$C$6:$C$13,'Income Statement'!$B12)</f>
        <v>76975.985350966133</v>
      </c>
      <c r="O12" s="7"/>
    </row>
    <row r="13" spans="1:15" x14ac:dyDescent="0.25">
      <c r="B13" s="10" t="str">
        <v>Support</v>
      </c>
      <c r="C13" s="22">
        <f>SUMIFS(Forecast!I$6:I$13,Forecast!$C$6:$C$13,'Income Statement'!$B13)</f>
        <v>71891.08726384156</v>
      </c>
      <c r="D13" s="22">
        <f>SUMIFS(Forecast!J$6:J$13,Forecast!$C$6:$C$13,'Income Statement'!$B13)</f>
        <v>68720.942589501195</v>
      </c>
      <c r="E13" s="22">
        <f>SUMIFS(Forecast!K$6:K$13,Forecast!$C$6:$C$13,'Income Statement'!$B13)</f>
        <v>65535.550530007939</v>
      </c>
      <c r="F13" s="22">
        <f>SUMIFS(Forecast!L$6:L$13,Forecast!$C$6:$C$13,'Income Statement'!$B13)</f>
        <v>62433.672673956666</v>
      </c>
      <c r="G13" s="22">
        <f>SUMIFS(Forecast!M$6:M$13,Forecast!$C$6:$C$13,'Income Statement'!$B13)</f>
        <v>59297.914016999872</v>
      </c>
      <c r="H13" s="22">
        <f>SUMIFS(Forecast!N$6:N$13,Forecast!$C$6:$C$13,'Income Statement'!$B13)</f>
        <v>55809.215989504504</v>
      </c>
      <c r="I13" s="22">
        <f>SUMIFS(Forecast!O$6:O$13,Forecast!$C$6:$C$13,'Income Statement'!$B13)</f>
        <v>53101.575874364629</v>
      </c>
      <c r="J13" s="22">
        <f>SUMIFS(Forecast!P$6:P$13,Forecast!$C$6:$C$13,'Income Statement'!$B13)</f>
        <v>49858.469992924634</v>
      </c>
      <c r="K13" s="22">
        <f>SUMIFS(Forecast!Q$6:Q$13,Forecast!$C$6:$C$13,'Income Statement'!$B13)</f>
        <v>46427.196699238812</v>
      </c>
      <c r="L13" s="22">
        <f>SUMIFS(Forecast!R$6:R$13,Forecast!$C$6:$C$13,'Income Statement'!$B13)</f>
        <v>43635.726629039535</v>
      </c>
      <c r="M13" s="22">
        <f>SUMIFS(Forecast!S$6:S$13,Forecast!$C$6:$C$13,'Income Statement'!$B13)</f>
        <v>40378.091716998213</v>
      </c>
      <c r="N13" s="22">
        <f>SUMIFS(Forecast!T$6:T$13,Forecast!$C$6:$C$13,'Income Statement'!$B13)</f>
        <v>36969.279376805083</v>
      </c>
      <c r="O13" s="7"/>
    </row>
    <row r="14" spans="1:15" x14ac:dyDescent="0.25">
      <c r="B14" s="10" t="str">
        <v>HR</v>
      </c>
      <c r="C14" s="22">
        <f>SUMIFS(Forecast!I$6:I$13,Forecast!$C$6:$C$13,'Income Statement'!$B14)</f>
        <v>86073.787458327773</v>
      </c>
      <c r="D14" s="22">
        <f>SUMIFS(Forecast!J$6:J$13,Forecast!$C$6:$C$13,'Income Statement'!$B14)</f>
        <v>89905.174816581304</v>
      </c>
      <c r="E14" s="22">
        <f>SUMIFS(Forecast!K$6:K$13,Forecast!$C$6:$C$13,'Income Statement'!$B14)</f>
        <v>95367.880477930186</v>
      </c>
      <c r="F14" s="22">
        <f>SUMIFS(Forecast!L$6:L$13,Forecast!$C$6:$C$13,'Income Statement'!$B14)</f>
        <v>98929.641344771808</v>
      </c>
      <c r="G14" s="22">
        <f>SUMIFS(Forecast!M$6:M$13,Forecast!$C$6:$C$13,'Income Statement'!$B14)</f>
        <v>104140.68360353216</v>
      </c>
      <c r="H14" s="22">
        <f>SUMIFS(Forecast!N$6:N$13,Forecast!$C$6:$C$13,'Income Statement'!$B14)</f>
        <v>107797.77171675027</v>
      </c>
      <c r="I14" s="22">
        <f>SUMIFS(Forecast!O$6:O$13,Forecast!$C$6:$C$13,'Income Statement'!$B14)</f>
        <v>113004.56904525784</v>
      </c>
      <c r="J14" s="22">
        <f>SUMIFS(Forecast!P$6:P$13,Forecast!$C$6:$C$13,'Income Statement'!$B14)</f>
        <v>116884.49771546668</v>
      </c>
      <c r="K14" s="22">
        <f>SUMIFS(Forecast!Q$6:Q$13,Forecast!$C$6:$C$13,'Income Statement'!$B14)</f>
        <v>122070.99757827564</v>
      </c>
      <c r="L14" s="22">
        <f>SUMIFS(Forecast!R$6:R$13,Forecast!$C$6:$C$13,'Income Statement'!$B14)</f>
        <v>125178.18839468292</v>
      </c>
      <c r="M14" s="22">
        <f>SUMIFS(Forecast!S$6:S$13,Forecast!$C$6:$C$13,'Income Statement'!$B14)</f>
        <v>130883.88074334929</v>
      </c>
      <c r="N14" s="22">
        <f>SUMIFS(Forecast!T$6:T$13,Forecast!$C$6:$C$13,'Income Statement'!$B14)</f>
        <v>134763.32895436042</v>
      </c>
      <c r="O14" s="7"/>
    </row>
    <row r="15" spans="1:15" x14ac:dyDescent="0.25">
      <c r="B15" t="s">
        <v>24</v>
      </c>
      <c r="C15" s="22">
        <f>SUM(C11:C14)</f>
        <v>294695.99199332355</v>
      </c>
      <c r="D15" s="22">
        <f t="shared" ref="D15:N15" si="3">SUM(D11:D14)</f>
        <v>293936.30995320738</v>
      </c>
      <c r="E15" s="22">
        <f t="shared" si="3"/>
        <v>295550.44249272533</v>
      </c>
      <c r="F15" s="22">
        <f t="shared" si="3"/>
        <v>294446.36554915516</v>
      </c>
      <c r="G15" s="22">
        <f t="shared" si="3"/>
        <v>295822.2210231545</v>
      </c>
      <c r="H15" s="22">
        <f t="shared" si="3"/>
        <v>294532.95730675652</v>
      </c>
      <c r="I15" s="22">
        <f t="shared" si="3"/>
        <v>296136.70015474025</v>
      </c>
      <c r="J15" s="22">
        <f t="shared" si="3"/>
        <v>295338.9155495055</v>
      </c>
      <c r="K15" s="22">
        <f t="shared" si="3"/>
        <v>296225.51501089102</v>
      </c>
      <c r="L15" s="22">
        <f t="shared" si="3"/>
        <v>295070.42280471441</v>
      </c>
      <c r="M15" s="22">
        <f t="shared" si="3"/>
        <v>296787.6355950674</v>
      </c>
      <c r="N15" s="22">
        <f t="shared" si="3"/>
        <v>295703.88900614763</v>
      </c>
      <c r="O15" s="7"/>
    </row>
    <row r="16" spans="1:15" x14ac:dyDescent="0.25">
      <c r="B16" s="14" t="s">
        <v>26</v>
      </c>
      <c r="C16" s="26">
        <f>C8-C15</f>
        <v>50352.322875427722</v>
      </c>
      <c r="D16" s="26">
        <f t="shared" ref="D16:N16" si="4">D8-D15</f>
        <v>45599.197829513694</v>
      </c>
      <c r="E16" s="26">
        <f t="shared" si="4"/>
        <v>43509.682145356783</v>
      </c>
      <c r="F16" s="26">
        <f t="shared" si="4"/>
        <v>38637.628381224</v>
      </c>
      <c r="G16" s="26">
        <f t="shared" si="4"/>
        <v>36715.746930267836</v>
      </c>
      <c r="H16" s="26">
        <f t="shared" si="4"/>
        <v>32528.463734897145</v>
      </c>
      <c r="I16" s="26">
        <f t="shared" si="4"/>
        <v>122139.90186542633</v>
      </c>
      <c r="J16" s="26">
        <f t="shared" si="4"/>
        <v>116123.96568339999</v>
      </c>
      <c r="K16" s="26">
        <f t="shared" si="4"/>
        <v>113140.66348316451</v>
      </c>
      <c r="L16" s="26">
        <f t="shared" si="4"/>
        <v>107156.98536980944</v>
      </c>
      <c r="M16" s="26">
        <f t="shared" si="4"/>
        <v>104495.7407949334</v>
      </c>
      <c r="N16" s="26">
        <f t="shared" si="4"/>
        <v>97740.723446514341</v>
      </c>
    </row>
    <row r="17" spans="1:14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B18" t="s">
        <v>27</v>
      </c>
      <c r="C18" s="8">
        <f>C38</f>
        <v>3696.9462307366211</v>
      </c>
      <c r="D18" s="8">
        <f t="shared" ref="D18:N18" si="5">D38</f>
        <v>3637.8804405291544</v>
      </c>
      <c r="E18" s="8">
        <f t="shared" si="5"/>
        <v>3632.7870496937367</v>
      </c>
      <c r="F18" s="8">
        <f t="shared" si="5"/>
        <v>3568.7570778254908</v>
      </c>
      <c r="G18" s="8">
        <f t="shared" si="5"/>
        <v>3562.9067995009536</v>
      </c>
      <c r="H18" s="8">
        <f t="shared" si="5"/>
        <v>3504.2295111605754</v>
      </c>
      <c r="I18" s="8">
        <f t="shared" si="5"/>
        <v>4481.5350216446413</v>
      </c>
      <c r="J18" s="8">
        <f t="shared" si="5"/>
        <v>4408.5308703525588</v>
      </c>
      <c r="K18" s="8">
        <f t="shared" si="5"/>
        <v>4386.0661981505946</v>
      </c>
      <c r="L18" s="8">
        <f t="shared" si="5"/>
        <v>4309.5793732984703</v>
      </c>
      <c r="M18" s="8">
        <f t="shared" si="5"/>
        <v>4299.4647470357222</v>
      </c>
      <c r="N18" s="8">
        <f t="shared" si="5"/>
        <v>4215.4779905642354</v>
      </c>
    </row>
    <row r="19" spans="1:14" x14ac:dyDescent="0.25">
      <c r="B19" s="14" t="s">
        <v>28</v>
      </c>
      <c r="C19" s="24">
        <f>C16-C18</f>
        <v>46655.376644691103</v>
      </c>
      <c r="D19" s="24">
        <f t="shared" ref="D19:N19" si="6">D16-D18</f>
        <v>41961.317388984542</v>
      </c>
      <c r="E19" s="24">
        <f t="shared" si="6"/>
        <v>39876.895095663043</v>
      </c>
      <c r="F19" s="24">
        <f t="shared" si="6"/>
        <v>35068.871303398511</v>
      </c>
      <c r="G19" s="24">
        <f t="shared" si="6"/>
        <v>33152.840130766883</v>
      </c>
      <c r="H19" s="24">
        <f t="shared" si="6"/>
        <v>29024.23422373657</v>
      </c>
      <c r="I19" s="24">
        <f t="shared" si="6"/>
        <v>117658.3668437817</v>
      </c>
      <c r="J19" s="24">
        <f t="shared" si="6"/>
        <v>111715.43481304744</v>
      </c>
      <c r="K19" s="24">
        <f t="shared" si="6"/>
        <v>108754.59728501391</v>
      </c>
      <c r="L19" s="24">
        <f t="shared" si="6"/>
        <v>102847.40599651096</v>
      </c>
      <c r="M19" s="24">
        <f t="shared" si="6"/>
        <v>100196.27604789769</v>
      </c>
      <c r="N19" s="24">
        <f t="shared" si="6"/>
        <v>93525.245455950106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B21" t="s">
        <v>29</v>
      </c>
      <c r="C21" s="8">
        <f>C19*$C$40</f>
        <v>11663.844161172776</v>
      </c>
      <c r="D21" s="8">
        <f t="shared" ref="D21:N21" si="7">D19*$C$40</f>
        <v>10490.329347246136</v>
      </c>
      <c r="E21" s="8">
        <f t="shared" si="7"/>
        <v>9969.2237739157608</v>
      </c>
      <c r="F21" s="8">
        <f t="shared" si="7"/>
        <v>8767.2178258496278</v>
      </c>
      <c r="G21" s="8">
        <f t="shared" si="7"/>
        <v>8288.2100326917207</v>
      </c>
      <c r="H21" s="8">
        <f t="shared" si="7"/>
        <v>7256.0585559341425</v>
      </c>
      <c r="I21" s="8">
        <f t="shared" si="7"/>
        <v>29414.591710945424</v>
      </c>
      <c r="J21" s="8">
        <f t="shared" si="7"/>
        <v>27928.85870326186</v>
      </c>
      <c r="K21" s="8">
        <f t="shared" si="7"/>
        <v>27188.649321253477</v>
      </c>
      <c r="L21" s="8">
        <f t="shared" si="7"/>
        <v>25711.851499127741</v>
      </c>
      <c r="M21" s="8">
        <f t="shared" si="7"/>
        <v>25049.069011974421</v>
      </c>
      <c r="N21" s="8">
        <f t="shared" si="7"/>
        <v>23381.311363987526</v>
      </c>
    </row>
    <row r="22" spans="1:14" x14ac:dyDescent="0.25">
      <c r="B22" s="18" t="s">
        <v>30</v>
      </c>
      <c r="C22" s="25">
        <f>C19-C21</f>
        <v>34991.532483518327</v>
      </c>
      <c r="D22" s="25">
        <f t="shared" ref="D22:N22" si="8">D19-D21</f>
        <v>31470.988041738405</v>
      </c>
      <c r="E22" s="25">
        <f t="shared" si="8"/>
        <v>29907.671321747282</v>
      </c>
      <c r="F22" s="25">
        <f t="shared" si="8"/>
        <v>26301.653477548884</v>
      </c>
      <c r="G22" s="25">
        <f t="shared" si="8"/>
        <v>24864.630098075162</v>
      </c>
      <c r="H22" s="25">
        <f t="shared" si="8"/>
        <v>21768.175667802429</v>
      </c>
      <c r="I22" s="25">
        <f t="shared" si="8"/>
        <v>88243.775132836279</v>
      </c>
      <c r="J22" s="25">
        <f t="shared" si="8"/>
        <v>83786.576109785587</v>
      </c>
      <c r="K22" s="25">
        <f t="shared" si="8"/>
        <v>81565.947963760438</v>
      </c>
      <c r="L22" s="25">
        <f t="shared" si="8"/>
        <v>77135.554497383215</v>
      </c>
      <c r="M22" s="25">
        <f t="shared" si="8"/>
        <v>75147.20703592326</v>
      </c>
      <c r="N22" s="25">
        <f t="shared" si="8"/>
        <v>70143.934091962583</v>
      </c>
    </row>
    <row r="25" spans="1:14" x14ac:dyDescent="0.25">
      <c r="A25" t="s">
        <v>34</v>
      </c>
      <c r="B25" s="27" t="s">
        <v>35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x14ac:dyDescent="0.25">
      <c r="B26" s="5" t="s">
        <v>21</v>
      </c>
    </row>
    <row r="27" spans="1:14" x14ac:dyDescent="0.25">
      <c r="B27" t="s">
        <v>36</v>
      </c>
      <c r="C27" s="19">
        <v>30</v>
      </c>
      <c r="D27" s="19">
        <v>30</v>
      </c>
      <c r="E27" s="19">
        <v>30</v>
      </c>
      <c r="F27" s="19">
        <v>30</v>
      </c>
      <c r="G27" s="19">
        <v>30</v>
      </c>
      <c r="H27" s="19">
        <v>30</v>
      </c>
      <c r="I27" s="19">
        <v>25</v>
      </c>
      <c r="J27" s="19">
        <v>25</v>
      </c>
      <c r="K27" s="19">
        <v>25</v>
      </c>
      <c r="L27" s="19">
        <v>25</v>
      </c>
      <c r="M27" s="19">
        <v>25</v>
      </c>
      <c r="N27" s="19">
        <v>25</v>
      </c>
    </row>
    <row r="28" spans="1:14" x14ac:dyDescent="0.25">
      <c r="B28" t="s">
        <v>37</v>
      </c>
      <c r="C28" s="19">
        <v>279</v>
      </c>
      <c r="D28" s="19">
        <v>279</v>
      </c>
      <c r="E28" s="19">
        <v>279</v>
      </c>
      <c r="F28" s="19">
        <v>279</v>
      </c>
      <c r="G28" s="19">
        <v>279</v>
      </c>
      <c r="H28" s="19">
        <v>279</v>
      </c>
      <c r="I28" s="19">
        <v>299</v>
      </c>
      <c r="J28" s="19">
        <v>299</v>
      </c>
      <c r="K28" s="19">
        <v>299</v>
      </c>
      <c r="L28" s="19">
        <v>299</v>
      </c>
      <c r="M28" s="19">
        <v>299</v>
      </c>
      <c r="N28" s="19">
        <v>299</v>
      </c>
    </row>
    <row r="30" spans="1:14" x14ac:dyDescent="0.25">
      <c r="B30" t="s">
        <v>44</v>
      </c>
      <c r="C30" s="22">
        <f>C11/C27</f>
        <v>1766.7604447964734</v>
      </c>
      <c r="D30" s="22">
        <f t="shared" ref="D30:N30" si="9">D11/D27</f>
        <v>1738.5330659637534</v>
      </c>
      <c r="E30" s="22">
        <f t="shared" si="9"/>
        <v>1736.098948479683</v>
      </c>
      <c r="F30" s="22">
        <f t="shared" si="9"/>
        <v>1705.4992008723973</v>
      </c>
      <c r="G30" s="22">
        <f t="shared" si="9"/>
        <v>1702.7033689371344</v>
      </c>
      <c r="H30" s="22">
        <f t="shared" si="9"/>
        <v>1674.6616540791279</v>
      </c>
      <c r="I30" s="22">
        <f t="shared" si="9"/>
        <v>1998.4548591503419</v>
      </c>
      <c r="J30" s="22">
        <f t="shared" si="9"/>
        <v>1965.9000536689227</v>
      </c>
      <c r="K30" s="22">
        <f t="shared" si="9"/>
        <v>1955.8823626089609</v>
      </c>
      <c r="L30" s="22">
        <f t="shared" si="9"/>
        <v>1921.7745254396741</v>
      </c>
      <c r="M30" s="22">
        <f t="shared" si="9"/>
        <v>1917.2641012422398</v>
      </c>
      <c r="N30" s="22">
        <f t="shared" si="9"/>
        <v>1879.8118129606401</v>
      </c>
    </row>
    <row r="31" spans="1:14" x14ac:dyDescent="0.25">
      <c r="B31" t="s">
        <v>21</v>
      </c>
      <c r="C31" s="22">
        <f>C30*C28</f>
        <v>492926.1640982161</v>
      </c>
      <c r="D31" s="22">
        <f t="shared" ref="D31:N31" si="10">D30*D28</f>
        <v>485050.72540388722</v>
      </c>
      <c r="E31" s="22">
        <f t="shared" si="10"/>
        <v>484371.60662583157</v>
      </c>
      <c r="F31" s="22">
        <f t="shared" si="10"/>
        <v>475834.27704339882</v>
      </c>
      <c r="G31" s="22">
        <f t="shared" si="10"/>
        <v>475054.23993346049</v>
      </c>
      <c r="H31" s="22">
        <f t="shared" si="10"/>
        <v>467230.60148807667</v>
      </c>
      <c r="I31" s="22">
        <f t="shared" si="10"/>
        <v>597538.00288595224</v>
      </c>
      <c r="J31" s="22">
        <f t="shared" si="10"/>
        <v>587804.11604700785</v>
      </c>
      <c r="K31" s="22">
        <f t="shared" si="10"/>
        <v>584808.82642007933</v>
      </c>
      <c r="L31" s="22">
        <f t="shared" si="10"/>
        <v>574610.58310646261</v>
      </c>
      <c r="M31" s="22">
        <f t="shared" si="10"/>
        <v>573261.96627142967</v>
      </c>
      <c r="N31" s="22">
        <f t="shared" si="10"/>
        <v>562063.73207523138</v>
      </c>
    </row>
    <row r="33" spans="1:14" x14ac:dyDescent="0.25">
      <c r="B33" s="5" t="s">
        <v>39</v>
      </c>
    </row>
    <row r="34" spans="1:14" x14ac:dyDescent="0.25">
      <c r="B34" t="s">
        <v>40</v>
      </c>
      <c r="C34" s="20">
        <v>0.3</v>
      </c>
      <c r="D34" s="20">
        <v>0.3</v>
      </c>
      <c r="E34" s="20">
        <v>0.3</v>
      </c>
      <c r="F34" s="20">
        <v>0.3</v>
      </c>
      <c r="G34" s="20">
        <v>0.3</v>
      </c>
      <c r="H34" s="20">
        <v>0.3</v>
      </c>
      <c r="I34" s="20">
        <v>0.3</v>
      </c>
      <c r="J34" s="20">
        <v>0.3</v>
      </c>
      <c r="K34" s="20">
        <v>0.3</v>
      </c>
      <c r="L34" s="20">
        <v>0.3</v>
      </c>
      <c r="M34" s="20">
        <v>0.3</v>
      </c>
      <c r="N34" s="20">
        <v>0.3</v>
      </c>
    </row>
    <row r="35" spans="1:14" x14ac:dyDescent="0.25">
      <c r="B35" t="s">
        <v>22</v>
      </c>
      <c r="C35" s="22">
        <f>C31*C34</f>
        <v>147877.84922946483</v>
      </c>
      <c r="D35" s="22">
        <f t="shared" ref="D35:N35" si="11">D31*D34</f>
        <v>145515.21762116617</v>
      </c>
      <c r="E35" s="22">
        <f t="shared" si="11"/>
        <v>145311.48198774946</v>
      </c>
      <c r="F35" s="22">
        <f t="shared" si="11"/>
        <v>142750.28311301963</v>
      </c>
      <c r="G35" s="22">
        <f t="shared" si="11"/>
        <v>142516.27198003815</v>
      </c>
      <c r="H35" s="22">
        <f t="shared" si="11"/>
        <v>140169.18044642301</v>
      </c>
      <c r="I35" s="22">
        <f t="shared" si="11"/>
        <v>179261.40086578566</v>
      </c>
      <c r="J35" s="22">
        <f t="shared" si="11"/>
        <v>176341.23481410235</v>
      </c>
      <c r="K35" s="22">
        <f t="shared" si="11"/>
        <v>175442.64792602378</v>
      </c>
      <c r="L35" s="22">
        <f t="shared" si="11"/>
        <v>172383.17493193879</v>
      </c>
      <c r="M35" s="22">
        <f t="shared" si="11"/>
        <v>171978.5898814289</v>
      </c>
      <c r="N35" s="22">
        <f t="shared" si="11"/>
        <v>168619.11962256941</v>
      </c>
    </row>
    <row r="36" spans="1:14" x14ac:dyDescent="0.25">
      <c r="C36" s="9"/>
    </row>
    <row r="37" spans="1:14" x14ac:dyDescent="0.25">
      <c r="B37" t="s">
        <v>41</v>
      </c>
      <c r="C37" s="23">
        <v>2.5000000000000001E-2</v>
      </c>
      <c r="D37" s="23">
        <v>2.5000000000000001E-2</v>
      </c>
      <c r="E37" s="23">
        <v>2.5000000000000001E-2</v>
      </c>
      <c r="F37" s="23">
        <v>2.5000000000000001E-2</v>
      </c>
      <c r="G37" s="23">
        <v>2.5000000000000001E-2</v>
      </c>
      <c r="H37" s="23">
        <v>2.5000000000000001E-2</v>
      </c>
      <c r="I37" s="23">
        <v>2.5000000000000001E-2</v>
      </c>
      <c r="J37" s="23">
        <v>2.5000000000000001E-2</v>
      </c>
      <c r="K37" s="23">
        <v>2.5000000000000001E-2</v>
      </c>
      <c r="L37" s="23">
        <v>2.5000000000000001E-2</v>
      </c>
      <c r="M37" s="23">
        <v>2.5000000000000001E-2</v>
      </c>
      <c r="N37" s="23">
        <v>2.5000000000000001E-2</v>
      </c>
    </row>
    <row r="38" spans="1:14" x14ac:dyDescent="0.25">
      <c r="B38" t="s">
        <v>27</v>
      </c>
      <c r="C38" s="22">
        <f>C35*C37</f>
        <v>3696.9462307366211</v>
      </c>
      <c r="D38" s="22">
        <f t="shared" ref="D38:N38" si="12">D35*D37</f>
        <v>3637.8804405291544</v>
      </c>
      <c r="E38" s="22">
        <f t="shared" si="12"/>
        <v>3632.7870496937367</v>
      </c>
      <c r="F38" s="22">
        <f t="shared" si="12"/>
        <v>3568.7570778254908</v>
      </c>
      <c r="G38" s="22">
        <f t="shared" si="12"/>
        <v>3562.9067995009536</v>
      </c>
      <c r="H38" s="22">
        <f t="shared" si="12"/>
        <v>3504.2295111605754</v>
      </c>
      <c r="I38" s="22">
        <f t="shared" si="12"/>
        <v>4481.5350216446413</v>
      </c>
      <c r="J38" s="22">
        <f t="shared" si="12"/>
        <v>4408.5308703525588</v>
      </c>
      <c r="K38" s="22">
        <f t="shared" si="12"/>
        <v>4386.0661981505946</v>
      </c>
      <c r="L38" s="22">
        <f t="shared" si="12"/>
        <v>4309.5793732984703</v>
      </c>
      <c r="M38" s="22">
        <f t="shared" si="12"/>
        <v>4299.4647470357222</v>
      </c>
      <c r="N38" s="22">
        <f t="shared" si="12"/>
        <v>4215.4779905642354</v>
      </c>
    </row>
    <row r="40" spans="1:14" x14ac:dyDescent="0.25">
      <c r="A40" t="s">
        <v>34</v>
      </c>
      <c r="B40" t="s">
        <v>38</v>
      </c>
      <c r="C40" s="20">
        <v>0.25</v>
      </c>
    </row>
  </sheetData>
  <dataValidations count="1">
    <dataValidation type="list" allowBlank="1" showInputMessage="1" showErrorMessage="1" sqref="C3 G1 C2" xr:uid="{CD2A6458-677E-4734-A8CD-D32F2CCF5DCD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0A0-0518-6C47-BEB6-4001203097BB}">
  <dimension ref="B2:N4"/>
  <sheetViews>
    <sheetView zoomScale="115" zoomScaleNormal="115" workbookViewId="0">
      <selection activeCell="B19" sqref="B19"/>
    </sheetView>
  </sheetViews>
  <sheetFormatPr defaultColWidth="11.125" defaultRowHeight="15.75" x14ac:dyDescent="0.25"/>
  <cols>
    <col min="3" max="14" width="8.625" customWidth="1"/>
  </cols>
  <sheetData>
    <row r="2" spans="2:14" x14ac:dyDescent="0.25">
      <c r="B2" s="13" t="s">
        <v>33</v>
      </c>
      <c r="C2" s="12">
        <f>'Income Statement'!C5</f>
        <v>0</v>
      </c>
      <c r="D2" s="12">
        <f>EDATE(C2,1)</f>
        <v>31</v>
      </c>
      <c r="E2" s="12">
        <f t="shared" ref="E2:N2" si="0">EDATE(D2,1)</f>
        <v>59</v>
      </c>
      <c r="F2" s="12">
        <f t="shared" si="0"/>
        <v>88</v>
      </c>
      <c r="G2" s="12">
        <f t="shared" si="0"/>
        <v>119</v>
      </c>
      <c r="H2" s="12">
        <f t="shared" si="0"/>
        <v>149</v>
      </c>
      <c r="I2" s="12">
        <f t="shared" si="0"/>
        <v>180</v>
      </c>
      <c r="J2" s="12">
        <f t="shared" si="0"/>
        <v>210</v>
      </c>
      <c r="K2" s="12">
        <f t="shared" si="0"/>
        <v>241</v>
      </c>
      <c r="L2" s="12">
        <f t="shared" si="0"/>
        <v>272</v>
      </c>
      <c r="M2" s="12">
        <f t="shared" si="0"/>
        <v>302</v>
      </c>
      <c r="N2" s="12">
        <f t="shared" si="0"/>
        <v>333</v>
      </c>
    </row>
    <row r="3" spans="2:14" x14ac:dyDescent="0.25">
      <c r="B3" t="s">
        <v>21</v>
      </c>
      <c r="C3" s="8">
        <f>'Income Statement'!C6</f>
        <v>492926.1640982161</v>
      </c>
      <c r="D3" s="8">
        <f>'Income Statement'!D6</f>
        <v>485050.72540388722</v>
      </c>
      <c r="E3" s="8">
        <f>'Income Statement'!E6</f>
        <v>484371.60662583157</v>
      </c>
      <c r="F3" s="8">
        <f>'Income Statement'!F6</f>
        <v>475834.27704339882</v>
      </c>
      <c r="G3" s="8">
        <f>'Income Statement'!G6</f>
        <v>475054.23993346049</v>
      </c>
      <c r="H3" s="8">
        <f>'Income Statement'!H6</f>
        <v>467230.60148807667</v>
      </c>
      <c r="I3" s="8">
        <f>'Income Statement'!I6</f>
        <v>597538.00288595224</v>
      </c>
      <c r="J3" s="8">
        <f>'Income Statement'!J6</f>
        <v>587804.11604700785</v>
      </c>
      <c r="K3" s="8">
        <f>'Income Statement'!K6</f>
        <v>584808.82642007933</v>
      </c>
      <c r="L3" s="8">
        <f>'Income Statement'!L6</f>
        <v>574610.58310646261</v>
      </c>
      <c r="M3" s="8">
        <f>'Income Statement'!M6</f>
        <v>573261.96627142967</v>
      </c>
      <c r="N3" s="8">
        <f>'Income Statement'!N6</f>
        <v>562063.73207523138</v>
      </c>
    </row>
    <row r="4" spans="2:14" x14ac:dyDescent="0.25">
      <c r="B4" t="s">
        <v>42</v>
      </c>
      <c r="C4" s="32">
        <f>'Income Statement'!C22/Visuals!C3</f>
        <v>7.0987370994058704E-2</v>
      </c>
      <c r="D4" s="32">
        <f>'Income Statement'!D22/Visuals!D3</f>
        <v>6.4881849244805181E-2</v>
      </c>
      <c r="E4" s="32">
        <f>'Income Statement'!E22/Visuals!E3</f>
        <v>6.17453023931075E-2</v>
      </c>
      <c r="F4" s="32">
        <f>'Income Statement'!F22/Visuals!F3</f>
        <v>5.5274818873861882E-2</v>
      </c>
      <c r="G4" s="32">
        <f>'Income Statement'!G22/Visuals!G3</f>
        <v>5.2340612940446299E-2</v>
      </c>
      <c r="H4" s="32">
        <f>'Income Statement'!H22/Visuals!H3</f>
        <v>4.6589790134621424E-2</v>
      </c>
      <c r="I4" s="32">
        <f>'Income Statement'!I22/Visuals!I3</f>
        <v>0.14767893373583257</v>
      </c>
      <c r="J4" s="32">
        <f>'Income Statement'!J22/Visuals!J3</f>
        <v>0.14254166281320324</v>
      </c>
      <c r="K4" s="32">
        <f>'Income Statement'!K22/Visuals!K3</f>
        <v>0.13947455010737142</v>
      </c>
      <c r="L4" s="32">
        <f>'Income Statement'!L22/Visuals!L3</f>
        <v>0.13423970383624437</v>
      </c>
      <c r="M4" s="32">
        <f>'Income Statement'!M22/Visuals!M3</f>
        <v>0.13108702732311103</v>
      </c>
      <c r="N4" s="32">
        <f>'Income Statement'!N22/Visuals!N3</f>
        <v>0.12479711834987055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 Expenses</vt:lpstr>
      <vt:lpstr>Forecast</vt:lpstr>
      <vt:lpstr>Income Statement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Monica Goud Nakka</cp:lastModifiedBy>
  <dcterms:created xsi:type="dcterms:W3CDTF">2023-03-06T12:19:00Z</dcterms:created>
  <dcterms:modified xsi:type="dcterms:W3CDTF">2026-04-23T16:45:48Z</dcterms:modified>
</cp:coreProperties>
</file>