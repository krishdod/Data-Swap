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oni\Downloads\"/>
    </mc:Choice>
  </mc:AlternateContent>
  <xr:revisionPtr revIDLastSave="0" documentId="13_ncr:1_{7AC1E557-B986-4FF5-A836-3EA71F5631AE}" xr6:coauthVersionLast="47" xr6:coauthVersionMax="47" xr10:uidLastSave="{00000000-0000-0000-0000-000000000000}"/>
  <bookViews>
    <workbookView xWindow="-120" yWindow="-120" windowWidth="20730" windowHeight="11040" activeTab="2" xr2:uid="{F3C74B5B-38FA-4365-BAE3-4B221B84B276}"/>
  </bookViews>
  <sheets>
    <sheet name="Budget" sheetId="2" r:id="rId1"/>
    <sheet name="Actuals " sheetId="5" r:id="rId2"/>
    <sheet name="Budget VS Actuals" sheetId="6" r:id="rId3"/>
    <sheet name="Dashboard" sheetId="8" r:id="rId4"/>
    <sheet name="Basic functions" sheetId="9" r:id="rId5"/>
  </sheets>
  <calcPr calcId="19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6" l="1"/>
  <c r="E21" i="6"/>
  <c r="E20" i="6"/>
  <c r="E19" i="6"/>
  <c r="E18" i="6"/>
  <c r="E17" i="6"/>
  <c r="E16" i="6"/>
  <c r="E15" i="6"/>
  <c r="E14" i="6"/>
  <c r="E13" i="6"/>
  <c r="E12" i="6"/>
  <c r="E11" i="6"/>
  <c r="E9" i="6"/>
  <c r="E8" i="6"/>
  <c r="E7" i="6"/>
  <c r="E6" i="6"/>
  <c r="E5" i="6"/>
  <c r="D22" i="6" l="1"/>
  <c r="D21" i="6"/>
  <c r="D20" i="6"/>
  <c r="D19" i="6"/>
  <c r="D18" i="6"/>
  <c r="D17" i="6"/>
  <c r="D16" i="6"/>
  <c r="D15" i="6"/>
  <c r="D14" i="6"/>
  <c r="D13" i="6"/>
  <c r="D12" i="6"/>
  <c r="D11" i="6"/>
  <c r="D9" i="6"/>
  <c r="D8" i="6"/>
  <c r="D7" i="6"/>
  <c r="D6" i="6"/>
  <c r="D5" i="6"/>
  <c r="C21" i="6"/>
  <c r="F21" i="6" s="1"/>
  <c r="C20" i="6"/>
  <c r="C19" i="6"/>
  <c r="C18" i="6"/>
  <c r="F18" i="6" s="1"/>
  <c r="C17" i="6"/>
  <c r="F17" i="6" s="1"/>
  <c r="C16" i="6"/>
  <c r="C15" i="6"/>
  <c r="C14" i="6"/>
  <c r="F14" i="6" s="1"/>
  <c r="C13" i="6"/>
  <c r="F13" i="6" s="1"/>
  <c r="C12" i="6"/>
  <c r="C11" i="6"/>
  <c r="C8" i="6"/>
  <c r="F8" i="6" s="1"/>
  <c r="C7" i="6"/>
  <c r="C6" i="6"/>
  <c r="C5" i="6"/>
  <c r="F5" i="6" s="1"/>
  <c r="N22" i="5"/>
  <c r="M22" i="5"/>
  <c r="L22" i="5"/>
  <c r="K22" i="5"/>
  <c r="J22" i="5"/>
  <c r="I22" i="5"/>
  <c r="H22" i="5"/>
  <c r="G22" i="5"/>
  <c r="F22" i="5"/>
  <c r="E22" i="5"/>
  <c r="D22" i="5"/>
  <c r="C22" i="5"/>
  <c r="N9" i="5"/>
  <c r="M9" i="5"/>
  <c r="L9" i="5"/>
  <c r="K9" i="5"/>
  <c r="J9" i="5"/>
  <c r="I9" i="5"/>
  <c r="H9" i="5"/>
  <c r="G9" i="5"/>
  <c r="F9" i="5"/>
  <c r="E9" i="5"/>
  <c r="D9" i="5"/>
  <c r="C9" i="5"/>
  <c r="N22" i="2"/>
  <c r="M22" i="2"/>
  <c r="L22" i="2"/>
  <c r="K22" i="2"/>
  <c r="J22" i="2"/>
  <c r="I22" i="2"/>
  <c r="H22" i="2"/>
  <c r="G22" i="2"/>
  <c r="F22" i="2"/>
  <c r="E22" i="2"/>
  <c r="N9" i="2"/>
  <c r="M9" i="2"/>
  <c r="L9" i="2"/>
  <c r="K9" i="2"/>
  <c r="J9" i="2"/>
  <c r="I9" i="2"/>
  <c r="H9" i="2"/>
  <c r="G9" i="2"/>
  <c r="F9" i="2"/>
  <c r="E9" i="2"/>
  <c r="F7" i="6" l="1"/>
  <c r="F12" i="6"/>
  <c r="F16" i="6"/>
  <c r="F20" i="6"/>
  <c r="F6" i="6"/>
  <c r="F11" i="6"/>
  <c r="F15" i="6"/>
  <c r="F19" i="6"/>
  <c r="D22" i="2" l="1"/>
  <c r="C22" i="2"/>
  <c r="D9" i="2"/>
  <c r="C9" i="2"/>
  <c r="C9" i="6" l="1"/>
  <c r="F9" i="6" s="1"/>
  <c r="C22" i="6"/>
  <c r="F22" i="6" s="1"/>
</calcChain>
</file>

<file path=xl/sharedStrings.xml><?xml version="1.0" encoding="utf-8"?>
<sst xmlns="http://schemas.openxmlformats.org/spreadsheetml/2006/main" count="173" uniqueCount="90">
  <si>
    <t>Department</t>
  </si>
  <si>
    <t>May</t>
  </si>
  <si>
    <t>Sales</t>
  </si>
  <si>
    <t>Operations</t>
  </si>
  <si>
    <t>Category</t>
  </si>
  <si>
    <t>Utilities</t>
  </si>
  <si>
    <t>Sub category</t>
  </si>
  <si>
    <t>Variance %</t>
  </si>
  <si>
    <t>Income</t>
  </si>
  <si>
    <t>Other income</t>
  </si>
  <si>
    <t>Total Income</t>
  </si>
  <si>
    <t>Expenses</t>
  </si>
  <si>
    <t>Rent</t>
  </si>
  <si>
    <t>Service Revenue</t>
  </si>
  <si>
    <t>Miscallenous Revenue</t>
  </si>
  <si>
    <t>Personnel</t>
  </si>
  <si>
    <t>Salaries</t>
  </si>
  <si>
    <t>Bonuses</t>
  </si>
  <si>
    <t>Office</t>
  </si>
  <si>
    <t>Technology</t>
  </si>
  <si>
    <t>Software Licenses</t>
  </si>
  <si>
    <t>IT Support</t>
  </si>
  <si>
    <t>Travel</t>
  </si>
  <si>
    <t>Training</t>
  </si>
  <si>
    <t>Finance</t>
  </si>
  <si>
    <t>Depreciation</t>
  </si>
  <si>
    <t>Bank Charges</t>
  </si>
  <si>
    <t>Miscellaneous</t>
  </si>
  <si>
    <t>Other Expenses</t>
  </si>
  <si>
    <t>Total Expenses</t>
  </si>
  <si>
    <t>Row Labels</t>
  </si>
  <si>
    <t>(blank)</t>
  </si>
  <si>
    <t>Grand Total</t>
  </si>
  <si>
    <t>Sum of Variance %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</si>
  <si>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</si>
  <si>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</si>
  <si>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</si>
  <si>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</si>
  <si>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</si>
  <si>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</si>
  <si>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</si>
  <si>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</si>
  <si>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</si>
  <si>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</si>
  <si>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</si>
  <si>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3366"/>
        <rFont val="Aptos Narrow"/>
        <family val="2"/>
        <scheme val="minor"/>
      </rPr>
      <t>ABC Inc, Actuals Report</t>
    </r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</si>
  <si>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4"/>
        <color rgb="FF003366"/>
        <rFont val="Aptos Narrow"/>
        <family val="2"/>
        <scheme val="minor"/>
      </rPr>
      <t xml:space="preserve">        From January 2023- December 2023</t>
    </r>
  </si>
  <si>
    <r>
      <t xml:space="preserve">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 xml:space="preserve">                 </t>
    </r>
    <r>
      <rPr>
        <b/>
        <sz val="14"/>
        <color rgb="FF003366"/>
        <rFont val="Aptos Narrow"/>
        <family val="2"/>
        <scheme val="minor"/>
      </rPr>
      <t xml:space="preserve">              ABC Inc.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4"/>
        <color rgb="FF003366"/>
        <rFont val="Aptos Narrow"/>
        <family val="2"/>
        <scheme val="minor"/>
      </rPr>
      <t>Monthly Budget Report</t>
    </r>
  </si>
  <si>
    <r>
      <t xml:space="preserve">                                                                                                                                                  </t>
    </r>
    <r>
      <rPr>
        <b/>
        <sz val="14"/>
        <color rgb="FF003366"/>
        <rFont val="Aptos Narrow"/>
        <family val="2"/>
        <scheme val="minor"/>
      </rPr>
      <t xml:space="preserve">                                                           From January - December 2023</t>
    </r>
  </si>
  <si>
    <r>
      <t xml:space="preserve">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3366"/>
        <rFont val="Aptos Narrow"/>
        <family val="2"/>
        <scheme val="minor"/>
      </rPr>
      <t>ABC Inc, Variance Report</t>
    </r>
  </si>
  <si>
    <t>Buget</t>
  </si>
  <si>
    <t xml:space="preserve">Actuals </t>
  </si>
  <si>
    <t>Variance $</t>
  </si>
  <si>
    <t>Sum of Buget</t>
  </si>
  <si>
    <t xml:space="preserve">Sum of Actuals </t>
  </si>
  <si>
    <t>Sum of Variance $</t>
  </si>
  <si>
    <r>
      <t xml:space="preserve">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3366"/>
        <rFont val="Aptos Narrow"/>
        <family val="2"/>
        <scheme val="minor"/>
      </rPr>
      <t>ABC Inc, Dasboard</t>
    </r>
  </si>
  <si>
    <t>Exclaimatory mark = Neutral</t>
  </si>
  <si>
    <t>Cross mark = Over spending</t>
  </si>
  <si>
    <t xml:space="preserve">Tick Mark = Within budget </t>
  </si>
  <si>
    <t>Employee ID</t>
  </si>
  <si>
    <t>Name</t>
  </si>
  <si>
    <t>Role</t>
  </si>
  <si>
    <t>Monthly Salary</t>
  </si>
  <si>
    <t>E1001</t>
  </si>
  <si>
    <t>Sarah Kim</t>
  </si>
  <si>
    <t>Analyst</t>
  </si>
  <si>
    <t>E1002</t>
  </si>
  <si>
    <t>John Lee</t>
  </si>
  <si>
    <t>HR</t>
  </si>
  <si>
    <t>Manager</t>
  </si>
  <si>
    <t>E1003</t>
  </si>
  <si>
    <t>Aisha Khan</t>
  </si>
  <si>
    <t>IT</t>
  </si>
  <si>
    <t>Developer</t>
  </si>
  <si>
    <t>E1004</t>
  </si>
  <si>
    <t>Mark Jones</t>
  </si>
  <si>
    <t>Executive</t>
  </si>
  <si>
    <t>E1005</t>
  </si>
  <si>
    <t>Emma Chen</t>
  </si>
  <si>
    <t>Coordinator</t>
  </si>
  <si>
    <t>E1006</t>
  </si>
  <si>
    <t>David Park</t>
  </si>
  <si>
    <t>Support</t>
  </si>
  <si>
    <t>E1007</t>
  </si>
  <si>
    <t>Linda Wu</t>
  </si>
  <si>
    <t>Controller</t>
  </si>
  <si>
    <t>E1008</t>
  </si>
  <si>
    <t>Tom Harris</t>
  </si>
  <si>
    <t>Employee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</si>
</sst>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3366"/>
      <name val="Aptos Narrow"/>
      <family val="2"/>
      <scheme val="minor"/>
    </font>
    <font>
      <b/>
      <sz val="11"/>
      <color rgb="FF003366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/>
    </xf>
    <xf numFmtId="0" fontId="2" fillId="4" borderId="0" xfId="0" applyFont="1" applyFill="1"/>
    <xf numFmtId="3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[Budgeting VS Actual and variance.xlsx]Dashboard!PivotTable8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52353928731882"/>
          <c:y val="0.12201625838436862"/>
          <c:w val="0.64885010995247216"/>
          <c:h val="0.38211140274132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Sum of Buget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Dashboard!$A$5:$A$14</c:f>
              <c:strCache>
                <c:ptCount val="9"/>
                <c:pt idx="0">
                  <c:v>Income</c:v>
                </c:pt>
                <c:pt idx="1">
                  <c:v>Expenses</c:v>
                </c:pt>
                <c:pt idx="2">
                  <c:v>Finance</c:v>
                </c:pt>
                <c:pt idx="3">
                  <c:v>Miscellaneous</c:v>
                </c:pt>
                <c:pt idx="4">
                  <c:v>Office</c:v>
                </c:pt>
                <c:pt idx="5">
                  <c:v>Operations</c:v>
                </c:pt>
                <c:pt idx="6">
                  <c:v>Personnel</c:v>
                </c:pt>
                <c:pt idx="7">
                  <c:v>Technology</c:v>
                </c:pt>
                <c:pt idx="8">
                  <c:v>(blank)</c:v>
                </c:pt>
              </c:strCache>
            </c:strRef>
          </c:cat>
          <c:val>
            <c:numRef>
              <c:f>Dashboard!$B$5:$B$14</c:f>
              <c:numCache>
                <c:formatCode>General</c:formatCode>
                <c:ptCount val="9"/>
                <c:pt idx="0">
                  <c:v>183000</c:v>
                </c:pt>
                <c:pt idx="2">
                  <c:v>84000</c:v>
                </c:pt>
                <c:pt idx="3">
                  <c:v>60000</c:v>
                </c:pt>
                <c:pt idx="4">
                  <c:v>50000</c:v>
                </c:pt>
                <c:pt idx="5">
                  <c:v>25000</c:v>
                </c:pt>
                <c:pt idx="6">
                  <c:v>219000</c:v>
                </c:pt>
                <c:pt idx="7">
                  <c:v>20690</c:v>
                </c:pt>
                <c:pt idx="8">
                  <c:v>1389090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B-4EFC-9640-256632A3C4C9}"/>
            </c:ext>
          </c:extLst>
        </c:ser>
        <c:ser>
          <c:idx val="1"/>
          <c:order val="1"/>
          <c:tx>
            <c:strRef>
              <c:f>Dashboard!$C$4</c:f>
              <c:strCache>
                <c:ptCount val="1"/>
                <c:pt idx="0">
                  <c:v>Sum of Actuals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Dashboard!$A$5:$A$14</c:f>
              <c:strCache>
                <c:ptCount val="9"/>
                <c:pt idx="0">
                  <c:v>Income</c:v>
                </c:pt>
                <c:pt idx="1">
                  <c:v>Expenses</c:v>
                </c:pt>
                <c:pt idx="2">
                  <c:v>Finance</c:v>
                </c:pt>
                <c:pt idx="3">
                  <c:v>Miscellaneous</c:v>
                </c:pt>
                <c:pt idx="4">
                  <c:v>Office</c:v>
                </c:pt>
                <c:pt idx="5">
                  <c:v>Operations</c:v>
                </c:pt>
                <c:pt idx="6">
                  <c:v>Personnel</c:v>
                </c:pt>
                <c:pt idx="7">
                  <c:v>Technology</c:v>
                </c:pt>
                <c:pt idx="8">
                  <c:v>(blank)</c:v>
                </c:pt>
              </c:strCache>
            </c:strRef>
          </c:cat>
          <c:val>
            <c:numRef>
              <c:f>Dashboard!$C$5:$C$14</c:f>
              <c:numCache>
                <c:formatCode>General</c:formatCode>
                <c:ptCount val="9"/>
                <c:pt idx="0">
                  <c:v>202300</c:v>
                </c:pt>
                <c:pt idx="2">
                  <c:v>8400</c:v>
                </c:pt>
                <c:pt idx="3">
                  <c:v>6550</c:v>
                </c:pt>
                <c:pt idx="4">
                  <c:v>24000</c:v>
                </c:pt>
                <c:pt idx="5">
                  <c:v>14400</c:v>
                </c:pt>
                <c:pt idx="6">
                  <c:v>101900</c:v>
                </c:pt>
                <c:pt idx="7">
                  <c:v>8300</c:v>
                </c:pt>
                <c:pt idx="8">
                  <c:v>781550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B-4EFC-9640-256632A3C4C9}"/>
            </c:ext>
          </c:extLst>
        </c:ser>
        <c:ser>
          <c:idx val="2"/>
          <c:order val="2"/>
          <c:tx>
            <c:strRef>
              <c:f>Dashboard!$D$4</c:f>
              <c:strCache>
                <c:ptCount val="1"/>
                <c:pt idx="0">
                  <c:v>Sum of Variance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Dashboard!$A$5:$A$14</c:f>
              <c:strCache>
                <c:ptCount val="9"/>
                <c:pt idx="0">
                  <c:v>Income</c:v>
                </c:pt>
                <c:pt idx="1">
                  <c:v>Expenses</c:v>
                </c:pt>
                <c:pt idx="2">
                  <c:v>Finance</c:v>
                </c:pt>
                <c:pt idx="3">
                  <c:v>Miscellaneous</c:v>
                </c:pt>
                <c:pt idx="4">
                  <c:v>Office</c:v>
                </c:pt>
                <c:pt idx="5">
                  <c:v>Operations</c:v>
                </c:pt>
                <c:pt idx="6">
                  <c:v>Personnel</c:v>
                </c:pt>
                <c:pt idx="7">
                  <c:v>Technology</c:v>
                </c:pt>
                <c:pt idx="8">
                  <c:v>(blank)</c:v>
                </c:pt>
              </c:strCache>
            </c:strRef>
          </c:cat>
          <c:val>
            <c:numRef>
              <c:f>Dashboard!$D$5:$D$14</c:f>
              <c:numCache>
                <c:formatCode>General</c:formatCode>
                <c:ptCount val="9"/>
                <c:pt idx="0">
                  <c:v>-19300</c:v>
                </c:pt>
                <c:pt idx="2">
                  <c:v>75600</c:v>
                </c:pt>
                <c:pt idx="3">
                  <c:v>53450</c:v>
                </c:pt>
                <c:pt idx="4">
                  <c:v>26000</c:v>
                </c:pt>
                <c:pt idx="5">
                  <c:v>10600</c:v>
                </c:pt>
                <c:pt idx="6">
                  <c:v>117100</c:v>
                </c:pt>
                <c:pt idx="7">
                  <c:v>12390</c:v>
                </c:pt>
                <c:pt idx="8">
                  <c:v>607540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CB-4EFC-9640-256632A3C4C9}"/>
            </c:ext>
          </c:extLst>
        </c:ser>
        <c:ser>
          <c:idx val="3"/>
          <c:order val="3"/>
          <c:tx>
            <c:strRef>
              <c:f>Dashboard!$E$4</c:f>
              <c:strCache>
                <c:ptCount val="1"/>
                <c:pt idx="0">
                  <c:v>Sum of Variance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Dashboard!$A$5:$A$14</c:f>
              <c:strCache>
                <c:ptCount val="9"/>
                <c:pt idx="0">
                  <c:v>Income</c:v>
                </c:pt>
                <c:pt idx="1">
                  <c:v>Expenses</c:v>
                </c:pt>
                <c:pt idx="2">
                  <c:v>Finance</c:v>
                </c:pt>
                <c:pt idx="3">
                  <c:v>Miscellaneous</c:v>
                </c:pt>
                <c:pt idx="4">
                  <c:v>Office</c:v>
                </c:pt>
                <c:pt idx="5">
                  <c:v>Operations</c:v>
                </c:pt>
                <c:pt idx="6">
                  <c:v>Personnel</c:v>
                </c:pt>
                <c:pt idx="7">
                  <c:v>Technology</c:v>
                </c:pt>
                <c:pt idx="8">
                  <c:v>(blank)</c:v>
                </c:pt>
              </c:strCache>
            </c:strRef>
          </c:cat>
          <c:val>
            <c:numRef>
              <c:f>Dashboard!$E$5:$E$14</c:f>
              <c:numCache>
                <c:formatCode>General</c:formatCode>
                <c:ptCount val="9"/>
                <c:pt idx="0">
                  <c:v>-0.10546448087431694</c:v>
                </c:pt>
                <c:pt idx="2">
                  <c:v>0.9</c:v>
                </c:pt>
                <c:pt idx="3">
                  <c:v>0.89083333333333337</c:v>
                </c:pt>
                <c:pt idx="4">
                  <c:v>0.52</c:v>
                </c:pt>
                <c:pt idx="5">
                  <c:v>0.42399999999999999</c:v>
                </c:pt>
                <c:pt idx="6">
                  <c:v>0.53470319634703201</c:v>
                </c:pt>
                <c:pt idx="7">
                  <c:v>0.59884001933301112</c:v>
                </c:pt>
                <c:pt idx="8">
                  <c:v>4.5164760655287788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B-4EFC-9640-256632A3C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110992"/>
        <c:axId val="472111472"/>
      </c:barChart>
      <c:catAx>
        <c:axId val="4721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111472"/>
        <c:crosses val="autoZero"/>
        <c:auto val="1"/>
        <c:lblAlgn val="ctr"/>
        <c:lblOffset val="100"/>
        <c:noMultiLvlLbl val="0"/>
      </c:catAx>
      <c:valAx>
        <c:axId val="4721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1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6</xdr:row>
      <xdr:rowOff>147637</xdr:rowOff>
    </xdr:from>
    <xdr:to>
      <xdr:col>15</xdr:col>
      <xdr:colOff>180975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A89AB-F266-0707-E45C-E1AB2C773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 Monica" refreshedDate="46134.543453240738" createdVersion="8" refreshedVersion="8" minRefreshableVersion="3" recordCount="18" xr:uid="{3204EC10-CF6E-40E7-9F4D-4607327BC31B}">
  <cacheSource type="worksheet">
    <worksheetSource ref="A4:F22" sheet="Budget VS Actuals"/>
  </cacheSource>
  <cacheFields count="6">
    <cacheField name="Category" numFmtId="0">
      <sharedItems containsBlank="1" count="9">
        <s v="Income"/>
        <m/>
        <s v="Expenses"/>
        <s v="Personnel"/>
        <s v="Office"/>
        <s v="Technology"/>
        <s v="Operations"/>
        <s v="Finance"/>
        <s v="Miscellaneous"/>
      </sharedItems>
    </cacheField>
    <cacheField name="Sub category" numFmtId="0">
      <sharedItems containsBlank="1" count="18">
        <s v="Service Revenue"/>
        <s v="Miscallenous Revenue"/>
        <s v="Sales"/>
        <s v="Other income"/>
        <s v="Total Income"/>
        <m/>
        <s v="Salaries"/>
        <s v="Bonuses"/>
        <s v="Rent"/>
        <s v="Utilities"/>
        <s v="Software Licenses"/>
        <s v="IT Support"/>
        <s v="Travel"/>
        <s v="Training"/>
        <s v="Depreciation"/>
        <s v="Bank Charges"/>
        <s v="Other Expenses"/>
        <s v="Total Expenses"/>
      </sharedItems>
    </cacheField>
    <cacheField name="Buget" numFmtId="0">
      <sharedItems containsString="0" containsBlank="1" containsNumber="1" containsInteger="1" minValue="14450" maxValue="648540"/>
    </cacheField>
    <cacheField name="Actuals " numFmtId="0">
      <sharedItems containsString="0" containsBlank="1" containsNumber="1" containsInteger="1" minValue="2870" maxValue="378500"/>
    </cacheField>
    <cacheField name="Variance $" numFmtId="3">
      <sharedItems containsString="0" containsBlank="1" containsNumber="1" containsInteger="1" minValue="-19300" maxValue="453340"/>
    </cacheField>
    <cacheField name="Variance %" numFmtId="0">
      <sharedItems containsString="0" containsBlank="1" containsNumber="1" minValue="-0.10546448087431694" maxValue="0.9"/>
    </cacheField>
  </cacheFields>
  <extLst>
    <ext xmlns:x14="http://schemas.microsoft.com/office/spreadsheetml/2009/9/main" uri="{725AE2AE-9491-48be-B2B4-4EB974FC3084}">
      <x14:pivotCacheDefinition pivotCacheId="15677391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183000"/>
    <n v="202300"/>
    <n v="-19300"/>
    <n v="-0.10546448087431694"/>
  </r>
  <r>
    <x v="1"/>
    <x v="1"/>
    <n v="25400"/>
    <n v="25600"/>
    <n v="-200"/>
    <n v="-7.874015748031496E-3"/>
  </r>
  <r>
    <x v="1"/>
    <x v="2"/>
    <n v="144000"/>
    <n v="135100"/>
    <n v="8900"/>
    <n v="6.1805555555555558E-2"/>
  </r>
  <r>
    <x v="1"/>
    <x v="3"/>
    <n v="14450"/>
    <n v="15500"/>
    <n v="-1050"/>
    <n v="-7.2664359861591699E-2"/>
  </r>
  <r>
    <x v="1"/>
    <x v="4"/>
    <n v="366850"/>
    <n v="378500"/>
    <n v="-11650"/>
    <n v="-3.1756848848303119E-2"/>
  </r>
  <r>
    <x v="2"/>
    <x v="5"/>
    <m/>
    <m/>
    <m/>
    <m/>
  </r>
  <r>
    <x v="3"/>
    <x v="6"/>
    <n v="219000"/>
    <n v="101900"/>
    <n v="117100"/>
    <n v="0.53470319634703201"/>
  </r>
  <r>
    <x v="1"/>
    <x v="7"/>
    <n v="26700"/>
    <n v="9600"/>
    <n v="17100"/>
    <n v="0.6404494382022472"/>
  </r>
  <r>
    <x v="4"/>
    <x v="8"/>
    <n v="50000"/>
    <n v="24000"/>
    <n v="26000"/>
    <n v="0.52"/>
  </r>
  <r>
    <x v="1"/>
    <x v="9"/>
    <n v="14550"/>
    <n v="6780"/>
    <n v="7770"/>
    <n v="0.53402061855670102"/>
  </r>
  <r>
    <x v="5"/>
    <x v="10"/>
    <n v="20690"/>
    <n v="8300"/>
    <n v="12390"/>
    <n v="0.59884001933301112"/>
  </r>
  <r>
    <x v="1"/>
    <x v="11"/>
    <n v="66900"/>
    <n v="7000"/>
    <n v="59900"/>
    <n v="0.89536621823617335"/>
  </r>
  <r>
    <x v="6"/>
    <x v="12"/>
    <n v="25000"/>
    <n v="14400"/>
    <n v="10600"/>
    <n v="0.42399999999999999"/>
  </r>
  <r>
    <x v="1"/>
    <x v="13"/>
    <n v="53000"/>
    <n v="5400"/>
    <n v="47600"/>
    <n v="0.89811320754716983"/>
  </r>
  <r>
    <x v="7"/>
    <x v="14"/>
    <n v="84000"/>
    <n v="8400"/>
    <n v="75600"/>
    <n v="0.9"/>
  </r>
  <r>
    <x v="1"/>
    <x v="15"/>
    <n v="28700"/>
    <n v="2870"/>
    <n v="25830"/>
    <n v="0.9"/>
  </r>
  <r>
    <x v="8"/>
    <x v="16"/>
    <n v="60000"/>
    <n v="6550"/>
    <n v="53450"/>
    <n v="0.89083333333333337"/>
  </r>
  <r>
    <x v="1"/>
    <x v="17"/>
    <n v="648540"/>
    <n v="195200"/>
    <n v="453340"/>
    <n v="0.699016251888858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89018-D29A-430E-86C3-895ACE0070FF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4" firstHeaderRow="0" firstDataRow="1" firstDataCol="1"/>
  <pivotFields count="6">
    <pivotField axis="axisRow" showAll="0">
      <items count="10">
        <item x="0"/>
        <item x="2"/>
        <item x="7"/>
        <item x="8"/>
        <item x="4"/>
        <item x="6"/>
        <item x="3"/>
        <item x="5"/>
        <item x="1"/>
        <item t="default"/>
      </items>
    </pivotField>
    <pivotField showAll="0">
      <items count="19">
        <item x="15"/>
        <item x="7"/>
        <item x="14"/>
        <item x="11"/>
        <item x="1"/>
        <item x="16"/>
        <item x="3"/>
        <item x="8"/>
        <item x="6"/>
        <item x="2"/>
        <item x="0"/>
        <item x="10"/>
        <item x="17"/>
        <item x="4"/>
        <item x="13"/>
        <item x="12"/>
        <item x="9"/>
        <item x="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uget" fld="2" baseField="0" baseItem="0"/>
    <dataField name="Sum of Actuals " fld="3" baseField="0" baseItem="0"/>
    <dataField name="Sum of Variance $" fld="4" baseField="0" baseItem="0"/>
    <dataField name="Sum of Variance %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131B-3929-45EF-9A3D-F7C1E7614B42}">
  <dimension ref="A1:N23"/>
  <sheetViews>
    <sheetView zoomScaleNormal="100" workbookViewId="0">
      <selection activeCell="N4" sqref="N4"/>
    </sheetView>
  </sheetViews>
  <sheetFormatPr defaultRowHeight="15" x14ac:dyDescent="0.25"/>
  <cols>
    <col min="1" max="1" width="12.42578125" customWidth="1"/>
    <col min="2" max="2" width="20.85546875" customWidth="1"/>
    <col min="3" max="3" width="11.140625" customWidth="1"/>
    <col min="5" max="5" width="13.140625" customWidth="1"/>
    <col min="6" max="6" width="12.7109375" customWidth="1"/>
    <col min="10" max="10" width="12.5703125" customWidth="1"/>
    <col min="11" max="11" width="12.140625" customWidth="1"/>
    <col min="12" max="12" width="14.85546875" customWidth="1"/>
    <col min="13" max="13" width="12.7109375" customWidth="1"/>
    <col min="14" max="14" width="12.28515625" customWidth="1"/>
  </cols>
  <sheetData>
    <row r="1" spans="1:14" s="7" customFormat="1" ht="21" customHeight="1" x14ac:dyDescent="0.3">
      <c r="A1" s="7" t="s">
        <v>47</v>
      </c>
    </row>
    <row r="2" spans="1:14" s="8" customFormat="1" ht="21.75" customHeight="1" x14ac:dyDescent="0.3">
      <c r="A2" s="8" t="s">
        <v>48</v>
      </c>
    </row>
    <row r="3" spans="1:14" s="4" customFormat="1" ht="15" customHeight="1" x14ac:dyDescent="0.25">
      <c r="A3" s="9"/>
    </row>
    <row r="4" spans="1:14" x14ac:dyDescent="0.25">
      <c r="A4" s="6" t="s">
        <v>4</v>
      </c>
      <c r="B4" s="6" t="s">
        <v>6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1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</row>
    <row r="5" spans="1:14" x14ac:dyDescent="0.25">
      <c r="A5" s="2" t="s">
        <v>8</v>
      </c>
      <c r="B5" s="1" t="s">
        <v>13</v>
      </c>
      <c r="C5" s="1">
        <v>5000</v>
      </c>
      <c r="D5" s="1">
        <v>5000</v>
      </c>
      <c r="E5" s="15">
        <v>15000</v>
      </c>
      <c r="F5" s="15">
        <v>15500</v>
      </c>
      <c r="G5" s="15">
        <v>16000</v>
      </c>
      <c r="H5" s="15">
        <v>16500</v>
      </c>
      <c r="I5" s="15">
        <v>17000</v>
      </c>
      <c r="J5" s="15">
        <v>17500</v>
      </c>
      <c r="K5" s="15">
        <v>18000</v>
      </c>
      <c r="L5" s="15">
        <v>18500</v>
      </c>
      <c r="M5" s="15">
        <v>19000</v>
      </c>
      <c r="N5" s="15">
        <v>20000</v>
      </c>
    </row>
    <row r="6" spans="1:14" x14ac:dyDescent="0.25">
      <c r="A6" s="1"/>
      <c r="B6" s="1" t="s">
        <v>14</v>
      </c>
      <c r="C6" s="1">
        <v>500</v>
      </c>
      <c r="D6" s="1">
        <v>300</v>
      </c>
      <c r="E6" s="3">
        <v>2000</v>
      </c>
      <c r="F6" s="3">
        <v>2200</v>
      </c>
      <c r="G6" s="3">
        <v>2100</v>
      </c>
      <c r="H6" s="3">
        <v>2300</v>
      </c>
      <c r="I6" s="3">
        <v>2400</v>
      </c>
      <c r="J6" s="3">
        <v>2500</v>
      </c>
      <c r="K6" s="3">
        <v>2600</v>
      </c>
      <c r="L6" s="3">
        <v>2700</v>
      </c>
      <c r="M6" s="3">
        <v>2800</v>
      </c>
      <c r="N6" s="3">
        <v>3000</v>
      </c>
    </row>
    <row r="7" spans="1:14" x14ac:dyDescent="0.25">
      <c r="A7" s="1"/>
      <c r="B7" s="1" t="s">
        <v>2</v>
      </c>
      <c r="C7" s="1">
        <v>10000</v>
      </c>
      <c r="D7" s="1">
        <v>11000</v>
      </c>
      <c r="E7" s="15">
        <v>10000</v>
      </c>
      <c r="F7" s="15">
        <v>10500</v>
      </c>
      <c r="G7" s="15">
        <v>11000</v>
      </c>
      <c r="H7" s="15">
        <v>11500</v>
      </c>
      <c r="I7" s="15">
        <v>12000</v>
      </c>
      <c r="J7" s="15">
        <v>12500</v>
      </c>
      <c r="K7" s="15">
        <v>13000</v>
      </c>
      <c r="L7" s="15">
        <v>13500</v>
      </c>
      <c r="M7" s="15">
        <v>14000</v>
      </c>
      <c r="N7" s="15">
        <v>15000</v>
      </c>
    </row>
    <row r="8" spans="1:14" x14ac:dyDescent="0.25">
      <c r="A8" s="1"/>
      <c r="B8" s="1" t="s">
        <v>9</v>
      </c>
      <c r="C8" s="1">
        <v>200</v>
      </c>
      <c r="D8" s="1">
        <v>250</v>
      </c>
      <c r="E8" s="15">
        <v>1000</v>
      </c>
      <c r="F8" s="15">
        <v>1200</v>
      </c>
      <c r="G8" s="15">
        <v>1100</v>
      </c>
      <c r="H8" s="15">
        <v>1300</v>
      </c>
      <c r="I8" s="15">
        <v>1200</v>
      </c>
      <c r="J8" s="15">
        <v>1400</v>
      </c>
      <c r="K8" s="15">
        <v>1500</v>
      </c>
      <c r="L8" s="15">
        <v>1600</v>
      </c>
      <c r="M8" s="15">
        <v>1700</v>
      </c>
      <c r="N8" s="15">
        <v>2000</v>
      </c>
    </row>
    <row r="9" spans="1:14" x14ac:dyDescent="0.25">
      <c r="A9" s="1"/>
      <c r="B9" s="2" t="s">
        <v>10</v>
      </c>
      <c r="C9" s="1">
        <f>SUM(C5:C8)</f>
        <v>15700</v>
      </c>
      <c r="D9" s="1">
        <f>SUM(D5:D8)</f>
        <v>16550</v>
      </c>
      <c r="E9" s="3">
        <f>SUM(E5:E8)</f>
        <v>28000</v>
      </c>
      <c r="F9" s="3">
        <f t="shared" ref="F9:N9" si="0">SUM(F5:F8)</f>
        <v>29400</v>
      </c>
      <c r="G9" s="3">
        <f t="shared" si="0"/>
        <v>30200</v>
      </c>
      <c r="H9" s="3">
        <f t="shared" si="0"/>
        <v>31600</v>
      </c>
      <c r="I9" s="3">
        <f t="shared" si="0"/>
        <v>32600</v>
      </c>
      <c r="J9" s="3">
        <f t="shared" si="0"/>
        <v>33900</v>
      </c>
      <c r="K9" s="3">
        <f t="shared" si="0"/>
        <v>35100</v>
      </c>
      <c r="L9" s="3">
        <f t="shared" si="0"/>
        <v>36300</v>
      </c>
      <c r="M9" s="3">
        <f t="shared" si="0"/>
        <v>37500</v>
      </c>
      <c r="N9" s="3">
        <f t="shared" si="0"/>
        <v>40000</v>
      </c>
    </row>
    <row r="10" spans="1:14" x14ac:dyDescent="0.25">
      <c r="A10" s="2" t="s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15</v>
      </c>
      <c r="B11" s="1" t="s">
        <v>16</v>
      </c>
      <c r="C11" s="1">
        <v>70000</v>
      </c>
      <c r="D11" s="1">
        <v>65000</v>
      </c>
      <c r="E11" s="15">
        <v>8000</v>
      </c>
      <c r="F11" s="15">
        <v>8200</v>
      </c>
      <c r="G11" s="15">
        <v>8200</v>
      </c>
      <c r="H11" s="15">
        <v>8500</v>
      </c>
      <c r="I11" s="15">
        <v>8500</v>
      </c>
      <c r="J11" s="15">
        <v>8800</v>
      </c>
      <c r="K11" s="15">
        <v>8800</v>
      </c>
      <c r="L11" s="15">
        <v>9000</v>
      </c>
      <c r="M11" s="15">
        <v>9500</v>
      </c>
      <c r="N11" s="15">
        <v>6500</v>
      </c>
    </row>
    <row r="12" spans="1:14" x14ac:dyDescent="0.25">
      <c r="A12" s="1"/>
      <c r="B12" s="1" t="s">
        <v>17</v>
      </c>
      <c r="C12" s="1">
        <v>10000</v>
      </c>
      <c r="D12" s="1">
        <v>9000</v>
      </c>
      <c r="E12" s="16">
        <v>500</v>
      </c>
      <c r="F12" s="16">
        <v>500</v>
      </c>
      <c r="G12" s="16">
        <v>700</v>
      </c>
      <c r="H12" s="16">
        <v>700</v>
      </c>
      <c r="I12" s="15">
        <v>1000</v>
      </c>
      <c r="J12" s="15">
        <v>1000</v>
      </c>
      <c r="K12" s="15">
        <v>1200</v>
      </c>
      <c r="L12" s="15">
        <v>1200</v>
      </c>
      <c r="M12" s="15">
        <v>600</v>
      </c>
      <c r="N12" s="15">
        <v>300</v>
      </c>
    </row>
    <row r="13" spans="1:14" x14ac:dyDescent="0.25">
      <c r="A13" s="1" t="s">
        <v>18</v>
      </c>
      <c r="B13" s="1" t="s">
        <v>12</v>
      </c>
      <c r="C13" s="1">
        <v>15000</v>
      </c>
      <c r="D13" s="1">
        <v>15000</v>
      </c>
      <c r="E13" s="15">
        <v>2000</v>
      </c>
      <c r="F13" s="15">
        <v>2000</v>
      </c>
      <c r="G13" s="15">
        <v>2000</v>
      </c>
      <c r="H13" s="15">
        <v>2000</v>
      </c>
      <c r="I13" s="15">
        <v>2000</v>
      </c>
      <c r="J13" s="15">
        <v>2000</v>
      </c>
      <c r="K13" s="15">
        <v>2000</v>
      </c>
      <c r="L13" s="15">
        <v>2000</v>
      </c>
      <c r="M13" s="15">
        <v>2000</v>
      </c>
      <c r="N13" s="15">
        <v>2000</v>
      </c>
    </row>
    <row r="14" spans="1:14" x14ac:dyDescent="0.25">
      <c r="A14" s="1"/>
      <c r="B14" s="1" t="s">
        <v>5</v>
      </c>
      <c r="C14" s="1">
        <v>4000</v>
      </c>
      <c r="D14" s="1">
        <v>5000</v>
      </c>
      <c r="E14" s="16">
        <v>400</v>
      </c>
      <c r="F14" s="16">
        <v>450</v>
      </c>
      <c r="G14" s="16">
        <v>500</v>
      </c>
      <c r="H14" s="16">
        <v>550</v>
      </c>
      <c r="I14" s="16">
        <v>600</v>
      </c>
      <c r="J14" s="16">
        <v>650</v>
      </c>
      <c r="K14" s="16">
        <v>600</v>
      </c>
      <c r="L14" s="16">
        <v>550</v>
      </c>
      <c r="M14" s="15">
        <v>500</v>
      </c>
      <c r="N14" s="15">
        <v>750</v>
      </c>
    </row>
    <row r="15" spans="1:14" x14ac:dyDescent="0.25">
      <c r="A15" s="1" t="s">
        <v>19</v>
      </c>
      <c r="B15" s="1" t="s">
        <v>20</v>
      </c>
      <c r="C15" s="1">
        <v>6000</v>
      </c>
      <c r="D15" s="1">
        <v>8000</v>
      </c>
      <c r="E15" s="16">
        <v>600</v>
      </c>
      <c r="F15" s="16">
        <v>600</v>
      </c>
      <c r="G15" s="16">
        <v>650</v>
      </c>
      <c r="H15" s="16">
        <v>650</v>
      </c>
      <c r="I15" s="16">
        <v>700</v>
      </c>
      <c r="J15" s="16">
        <v>700</v>
      </c>
      <c r="K15" s="16">
        <v>750</v>
      </c>
      <c r="L15" s="16">
        <v>750</v>
      </c>
      <c r="M15" s="15">
        <v>490</v>
      </c>
      <c r="N15" s="15">
        <v>800</v>
      </c>
    </row>
    <row r="16" spans="1:14" x14ac:dyDescent="0.25">
      <c r="A16" s="1"/>
      <c r="B16" s="1" t="s">
        <v>21</v>
      </c>
      <c r="C16" s="1">
        <v>5000</v>
      </c>
      <c r="D16" s="1">
        <v>7000</v>
      </c>
      <c r="E16" s="16">
        <v>5000</v>
      </c>
      <c r="F16" s="16">
        <v>4500</v>
      </c>
      <c r="G16" s="16">
        <v>5000</v>
      </c>
      <c r="H16" s="16">
        <v>5000</v>
      </c>
      <c r="I16" s="16">
        <v>5100</v>
      </c>
      <c r="J16" s="16">
        <v>4900</v>
      </c>
      <c r="K16" s="16">
        <v>5500</v>
      </c>
      <c r="L16" s="16">
        <v>6500</v>
      </c>
      <c r="M16" s="15">
        <v>6400</v>
      </c>
      <c r="N16" s="15">
        <v>7000</v>
      </c>
    </row>
    <row r="17" spans="1:14" x14ac:dyDescent="0.25">
      <c r="A17" s="1" t="s">
        <v>3</v>
      </c>
      <c r="B17" s="1" t="s">
        <v>22</v>
      </c>
      <c r="C17" s="1">
        <v>8000</v>
      </c>
      <c r="D17" s="1">
        <v>6000</v>
      </c>
      <c r="E17" s="16">
        <v>800</v>
      </c>
      <c r="F17" s="16">
        <v>900</v>
      </c>
      <c r="G17" s="15">
        <v>1000</v>
      </c>
      <c r="H17" s="15">
        <v>1100</v>
      </c>
      <c r="I17" s="15">
        <v>1200</v>
      </c>
      <c r="J17" s="15">
        <v>1300</v>
      </c>
      <c r="K17" s="15">
        <v>1400</v>
      </c>
      <c r="L17" s="15">
        <v>1500</v>
      </c>
      <c r="M17" s="15">
        <v>1300</v>
      </c>
      <c r="N17" s="15">
        <v>500</v>
      </c>
    </row>
    <row r="18" spans="1:14" x14ac:dyDescent="0.25">
      <c r="A18" s="1"/>
      <c r="B18" s="1" t="s">
        <v>23</v>
      </c>
      <c r="C18" s="1">
        <v>3000</v>
      </c>
      <c r="D18" s="1">
        <v>4000</v>
      </c>
      <c r="E18" s="16">
        <v>3000</v>
      </c>
      <c r="F18" s="16">
        <v>3000</v>
      </c>
      <c r="G18" s="16">
        <v>4000</v>
      </c>
      <c r="H18" s="16">
        <v>4000</v>
      </c>
      <c r="I18" s="16">
        <v>5000</v>
      </c>
      <c r="J18" s="16">
        <v>5000</v>
      </c>
      <c r="K18" s="16">
        <v>6000</v>
      </c>
      <c r="L18" s="16">
        <v>6000</v>
      </c>
      <c r="M18" s="15">
        <v>5500</v>
      </c>
      <c r="N18" s="15">
        <v>4500</v>
      </c>
    </row>
    <row r="19" spans="1:14" x14ac:dyDescent="0.25">
      <c r="A19" s="1" t="s">
        <v>24</v>
      </c>
      <c r="B19" s="1" t="s">
        <v>25</v>
      </c>
      <c r="C19" s="1">
        <v>7000</v>
      </c>
      <c r="D19" s="1">
        <v>7000</v>
      </c>
      <c r="E19" s="16">
        <v>7000</v>
      </c>
      <c r="F19" s="16">
        <v>7000</v>
      </c>
      <c r="G19" s="16">
        <v>7000</v>
      </c>
      <c r="H19" s="16">
        <v>7000</v>
      </c>
      <c r="I19" s="16">
        <v>7000</v>
      </c>
      <c r="J19" s="16">
        <v>7000</v>
      </c>
      <c r="K19" s="16">
        <v>7000</v>
      </c>
      <c r="L19" s="16">
        <v>7000</v>
      </c>
      <c r="M19" s="15">
        <v>7000</v>
      </c>
      <c r="N19" s="15">
        <v>7000</v>
      </c>
    </row>
    <row r="20" spans="1:14" x14ac:dyDescent="0.25">
      <c r="A20" s="1"/>
      <c r="B20" s="1" t="s">
        <v>26</v>
      </c>
      <c r="C20" s="1">
        <v>2000</v>
      </c>
      <c r="D20" s="1">
        <v>2500</v>
      </c>
      <c r="E20" s="16">
        <v>2000</v>
      </c>
      <c r="F20" s="16">
        <v>2000</v>
      </c>
      <c r="G20" s="16">
        <v>2200</v>
      </c>
      <c r="H20" s="16">
        <v>2200</v>
      </c>
      <c r="I20" s="16">
        <v>2500</v>
      </c>
      <c r="J20" s="16">
        <v>2500</v>
      </c>
      <c r="K20" s="16">
        <v>2700</v>
      </c>
      <c r="L20" s="16">
        <v>2700</v>
      </c>
      <c r="M20" s="15">
        <v>2700</v>
      </c>
      <c r="N20" s="15">
        <v>2700</v>
      </c>
    </row>
    <row r="21" spans="1:14" x14ac:dyDescent="0.25">
      <c r="A21" s="1" t="s">
        <v>27</v>
      </c>
      <c r="B21" s="1" t="s">
        <v>28</v>
      </c>
      <c r="C21" s="1">
        <v>1000</v>
      </c>
      <c r="D21" s="1">
        <v>1500</v>
      </c>
      <c r="E21" s="16">
        <v>4000</v>
      </c>
      <c r="F21" s="16">
        <v>4500</v>
      </c>
      <c r="G21" s="16">
        <v>5000</v>
      </c>
      <c r="H21" s="16">
        <v>5500</v>
      </c>
      <c r="I21" s="16">
        <v>6000</v>
      </c>
      <c r="J21" s="16">
        <v>6500</v>
      </c>
      <c r="K21" s="16">
        <v>7000</v>
      </c>
      <c r="L21" s="16">
        <v>7500</v>
      </c>
      <c r="M21" s="15">
        <v>6000</v>
      </c>
      <c r="N21" s="15">
        <v>5500</v>
      </c>
    </row>
    <row r="22" spans="1:14" x14ac:dyDescent="0.25">
      <c r="A22" s="1"/>
      <c r="B22" s="2" t="s">
        <v>29</v>
      </c>
      <c r="C22" s="1">
        <f>SUM(C11:C21)</f>
        <v>131000</v>
      </c>
      <c r="D22" s="1">
        <f>SUM(D11:D21)</f>
        <v>130000</v>
      </c>
      <c r="E22" s="3">
        <f>SUM(E11:E21)</f>
        <v>33300</v>
      </c>
      <c r="F22" s="3">
        <f t="shared" ref="F22:N22" si="1">SUM(F11:F21)</f>
        <v>33650</v>
      </c>
      <c r="G22" s="3">
        <f t="shared" si="1"/>
        <v>36250</v>
      </c>
      <c r="H22" s="3">
        <f t="shared" si="1"/>
        <v>37200</v>
      </c>
      <c r="I22" s="3">
        <f t="shared" si="1"/>
        <v>39600</v>
      </c>
      <c r="J22" s="3">
        <f t="shared" si="1"/>
        <v>40350</v>
      </c>
      <c r="K22" s="3">
        <f t="shared" si="1"/>
        <v>42950</v>
      </c>
      <c r="L22" s="3">
        <f t="shared" si="1"/>
        <v>44700</v>
      </c>
      <c r="M22" s="3">
        <f t="shared" si="1"/>
        <v>41990</v>
      </c>
      <c r="N22" s="3">
        <f t="shared" si="1"/>
        <v>37550</v>
      </c>
    </row>
    <row r="23" spans="1:14" x14ac:dyDescent="0.25">
      <c r="A23" s="1"/>
    </row>
  </sheetData>
  <mergeCells count="2">
    <mergeCell ref="A1:XFD1"/>
    <mergeCell ref="A2:XFD2"/>
  </mergeCells>
  <phoneticPr fontId="6" type="noConversion"/>
  <conditionalFormatting sqref="B23">
    <cfRule type="cellIs" dxfId="6" priority="4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CE64-4F5F-4D23-A7A5-0001FF1BECEF}">
  <dimension ref="A1:N22"/>
  <sheetViews>
    <sheetView topLeftCell="A5" workbookViewId="0">
      <selection activeCell="G12" sqref="G12"/>
    </sheetView>
  </sheetViews>
  <sheetFormatPr defaultRowHeight="15" x14ac:dyDescent="0.25"/>
  <cols>
    <col min="1" max="1" width="15" customWidth="1"/>
    <col min="2" max="2" width="22.5703125" customWidth="1"/>
    <col min="3" max="3" width="11.42578125" customWidth="1"/>
    <col min="4" max="4" width="10.5703125" customWidth="1"/>
    <col min="5" max="5" width="10.85546875" customWidth="1"/>
    <col min="6" max="6" width="11.140625" customWidth="1"/>
    <col min="10" max="10" width="12" customWidth="1"/>
    <col min="11" max="11" width="12.5703125" customWidth="1"/>
    <col min="13" max="14" width="12.140625" customWidth="1"/>
  </cols>
  <sheetData>
    <row r="1" spans="1:14" s="8" customFormat="1" ht="24" customHeight="1" x14ac:dyDescent="0.3">
      <c r="A1" s="8" t="s">
        <v>45</v>
      </c>
    </row>
    <row r="2" spans="1:14" s="8" customFormat="1" ht="24.75" customHeight="1" x14ac:dyDescent="0.3">
      <c r="A2" s="8" t="s">
        <v>46</v>
      </c>
    </row>
    <row r="3" spans="1:14" s="9" customFormat="1" ht="14.25" customHeight="1" x14ac:dyDescent="0.25"/>
    <row r="4" spans="1:14" x14ac:dyDescent="0.25">
      <c r="A4" s="6" t="s">
        <v>4</v>
      </c>
      <c r="B4" s="6" t="s">
        <v>6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1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</row>
    <row r="5" spans="1:14" x14ac:dyDescent="0.25">
      <c r="A5" s="2" t="s">
        <v>8</v>
      </c>
      <c r="B5" s="1" t="s">
        <v>13</v>
      </c>
      <c r="C5" s="15">
        <v>14200</v>
      </c>
      <c r="D5" s="15">
        <v>14800</v>
      </c>
      <c r="E5" s="15">
        <v>15300</v>
      </c>
      <c r="F5" s="15">
        <v>15200</v>
      </c>
      <c r="G5" s="15">
        <v>16400</v>
      </c>
      <c r="H5" s="15">
        <v>16100</v>
      </c>
      <c r="I5" s="15">
        <v>17300</v>
      </c>
      <c r="J5" s="15">
        <v>17100</v>
      </c>
      <c r="K5" s="15">
        <v>18200</v>
      </c>
      <c r="L5" s="15">
        <v>18000</v>
      </c>
      <c r="M5" s="15">
        <v>19200</v>
      </c>
      <c r="N5" s="15">
        <v>20500</v>
      </c>
    </row>
    <row r="6" spans="1:14" x14ac:dyDescent="0.25">
      <c r="A6" s="1"/>
      <c r="B6" s="1" t="s">
        <v>14</v>
      </c>
      <c r="C6" s="15">
        <v>1800</v>
      </c>
      <c r="D6" s="15">
        <v>2000</v>
      </c>
      <c r="E6" s="15">
        <v>2100</v>
      </c>
      <c r="F6" s="15">
        <v>2000</v>
      </c>
      <c r="G6" s="15">
        <v>2200</v>
      </c>
      <c r="H6" s="15">
        <v>2400</v>
      </c>
      <c r="I6" s="15">
        <v>2300</v>
      </c>
      <c r="J6" s="15">
        <v>2600</v>
      </c>
      <c r="K6" s="15">
        <v>2500</v>
      </c>
      <c r="L6" s="15">
        <v>2800</v>
      </c>
      <c r="M6" s="15">
        <v>1500</v>
      </c>
      <c r="N6" s="15">
        <v>1400</v>
      </c>
    </row>
    <row r="7" spans="1:14" x14ac:dyDescent="0.25">
      <c r="A7" s="1"/>
      <c r="B7" s="1" t="s">
        <v>2</v>
      </c>
      <c r="C7" s="15">
        <v>9500</v>
      </c>
      <c r="D7" s="15">
        <v>9800</v>
      </c>
      <c r="E7" s="15">
        <v>10200</v>
      </c>
      <c r="F7" s="15">
        <v>10300</v>
      </c>
      <c r="G7" s="15">
        <v>11200</v>
      </c>
      <c r="H7" s="15">
        <v>11000</v>
      </c>
      <c r="I7" s="15">
        <v>12300</v>
      </c>
      <c r="J7" s="15">
        <v>12200</v>
      </c>
      <c r="K7" s="15">
        <v>13400</v>
      </c>
      <c r="L7" s="15">
        <v>13200</v>
      </c>
      <c r="M7" s="15">
        <v>10000</v>
      </c>
      <c r="N7" s="15">
        <v>12000</v>
      </c>
    </row>
    <row r="8" spans="1:14" x14ac:dyDescent="0.25">
      <c r="A8" s="1"/>
      <c r="B8" s="1" t="s">
        <v>9</v>
      </c>
      <c r="C8" s="16">
        <v>900</v>
      </c>
      <c r="D8" s="15">
        <v>1000</v>
      </c>
      <c r="E8" s="15">
        <v>1100</v>
      </c>
      <c r="F8" s="15">
        <v>1100</v>
      </c>
      <c r="G8" s="15">
        <v>1200</v>
      </c>
      <c r="H8" s="15">
        <v>1300</v>
      </c>
      <c r="I8" s="15">
        <v>1400</v>
      </c>
      <c r="J8" s="15">
        <v>1300</v>
      </c>
      <c r="K8" s="15">
        <v>1600</v>
      </c>
      <c r="L8" s="15">
        <v>1500</v>
      </c>
      <c r="M8" s="15">
        <v>1700</v>
      </c>
      <c r="N8" s="15">
        <v>1400</v>
      </c>
    </row>
    <row r="9" spans="1:14" x14ac:dyDescent="0.25">
      <c r="A9" s="1"/>
      <c r="B9" s="2" t="s">
        <v>10</v>
      </c>
      <c r="C9" s="3">
        <f>SUM(C5:C8)</f>
        <v>26400</v>
      </c>
      <c r="D9" s="3">
        <f t="shared" ref="D9:N9" si="0">SUM(D5:D8)</f>
        <v>27600</v>
      </c>
      <c r="E9" s="3">
        <f t="shared" si="0"/>
        <v>28700</v>
      </c>
      <c r="F9" s="3">
        <f t="shared" si="0"/>
        <v>28600</v>
      </c>
      <c r="G9" s="3">
        <f t="shared" si="0"/>
        <v>31000</v>
      </c>
      <c r="H9" s="3">
        <f t="shared" si="0"/>
        <v>30800</v>
      </c>
      <c r="I9" s="3">
        <f t="shared" si="0"/>
        <v>33300</v>
      </c>
      <c r="J9" s="3">
        <f t="shared" si="0"/>
        <v>33200</v>
      </c>
      <c r="K9" s="3">
        <f t="shared" si="0"/>
        <v>35700</v>
      </c>
      <c r="L9" s="3">
        <f t="shared" si="0"/>
        <v>35500</v>
      </c>
      <c r="M9" s="3">
        <f t="shared" si="0"/>
        <v>32400</v>
      </c>
      <c r="N9" s="3">
        <f t="shared" si="0"/>
        <v>35300</v>
      </c>
    </row>
    <row r="10" spans="1:14" x14ac:dyDescent="0.25">
      <c r="A10" s="2" t="s">
        <v>11</v>
      </c>
      <c r="B10" s="1"/>
    </row>
    <row r="11" spans="1:14" x14ac:dyDescent="0.25">
      <c r="A11" s="1" t="s">
        <v>15</v>
      </c>
      <c r="B11" s="1" t="s">
        <v>16</v>
      </c>
      <c r="C11" s="15">
        <v>7800</v>
      </c>
      <c r="D11" s="15">
        <v>7900</v>
      </c>
      <c r="E11" s="15">
        <v>8100</v>
      </c>
      <c r="F11" s="15">
        <v>8000</v>
      </c>
      <c r="G11" s="15">
        <v>8300</v>
      </c>
      <c r="H11" s="15">
        <v>8200</v>
      </c>
      <c r="I11" s="15">
        <v>8600</v>
      </c>
      <c r="J11" s="15">
        <v>8400</v>
      </c>
      <c r="K11" s="15">
        <v>8900</v>
      </c>
      <c r="L11" s="15">
        <v>8700</v>
      </c>
      <c r="M11" s="15">
        <v>9200</v>
      </c>
      <c r="N11" s="15">
        <v>9800</v>
      </c>
    </row>
    <row r="12" spans="1:14" x14ac:dyDescent="0.25">
      <c r="A12" s="1"/>
      <c r="B12" s="1" t="s">
        <v>17</v>
      </c>
      <c r="C12" s="16">
        <v>400</v>
      </c>
      <c r="D12" s="16">
        <v>500</v>
      </c>
      <c r="E12" s="16">
        <v>600</v>
      </c>
      <c r="F12" s="16">
        <v>500</v>
      </c>
      <c r="G12" s="16">
        <v>800</v>
      </c>
      <c r="H12" s="16">
        <v>700</v>
      </c>
      <c r="I12" s="15">
        <v>1100</v>
      </c>
      <c r="J12" s="16">
        <v>900</v>
      </c>
      <c r="K12" s="15">
        <v>1300</v>
      </c>
      <c r="L12" s="15">
        <v>1100</v>
      </c>
      <c r="M12" s="1">
        <v>900</v>
      </c>
      <c r="N12" s="1">
        <v>800</v>
      </c>
    </row>
    <row r="13" spans="1:14" x14ac:dyDescent="0.25">
      <c r="A13" s="1" t="s">
        <v>18</v>
      </c>
      <c r="B13" s="1" t="s">
        <v>12</v>
      </c>
      <c r="C13" s="15">
        <v>2000</v>
      </c>
      <c r="D13" s="15">
        <v>2000</v>
      </c>
      <c r="E13" s="15">
        <v>2000</v>
      </c>
      <c r="F13" s="15">
        <v>2000</v>
      </c>
      <c r="G13" s="15">
        <v>2000</v>
      </c>
      <c r="H13" s="15">
        <v>2000</v>
      </c>
      <c r="I13" s="15">
        <v>2000</v>
      </c>
      <c r="J13" s="15">
        <v>2000</v>
      </c>
      <c r="K13" s="15">
        <v>2000</v>
      </c>
      <c r="L13" s="15">
        <v>2000</v>
      </c>
      <c r="M13" s="15">
        <v>2000</v>
      </c>
      <c r="N13" s="15">
        <v>2000</v>
      </c>
    </row>
    <row r="14" spans="1:14" x14ac:dyDescent="0.25">
      <c r="A14" s="1"/>
      <c r="B14" s="1" t="s">
        <v>5</v>
      </c>
      <c r="C14" s="16">
        <v>350</v>
      </c>
      <c r="D14" s="16">
        <v>400</v>
      </c>
      <c r="E14" s="16">
        <v>480</v>
      </c>
      <c r="F14" s="16">
        <v>500</v>
      </c>
      <c r="G14" s="16">
        <v>550</v>
      </c>
      <c r="H14" s="16">
        <v>600</v>
      </c>
      <c r="I14" s="16">
        <v>650</v>
      </c>
      <c r="J14" s="16">
        <v>700</v>
      </c>
      <c r="K14" s="16">
        <v>650</v>
      </c>
      <c r="L14" s="16">
        <v>600</v>
      </c>
      <c r="M14" s="1">
        <v>750</v>
      </c>
      <c r="N14" s="1">
        <v>550</v>
      </c>
    </row>
    <row r="15" spans="1:14" x14ac:dyDescent="0.25">
      <c r="A15" s="1" t="s">
        <v>19</v>
      </c>
      <c r="B15" s="1" t="s">
        <v>20</v>
      </c>
      <c r="C15" s="16">
        <v>550</v>
      </c>
      <c r="D15" s="16">
        <v>600</v>
      </c>
      <c r="E15" s="16">
        <v>650</v>
      </c>
      <c r="F15" s="16">
        <v>600</v>
      </c>
      <c r="G15" s="16">
        <v>700</v>
      </c>
      <c r="H15" s="16">
        <v>650</v>
      </c>
      <c r="I15" s="16">
        <v>750</v>
      </c>
      <c r="J15" s="16">
        <v>700</v>
      </c>
      <c r="K15" s="16">
        <v>800</v>
      </c>
      <c r="L15" s="16">
        <v>750</v>
      </c>
      <c r="M15" s="1">
        <v>700</v>
      </c>
      <c r="N15" s="1">
        <v>850</v>
      </c>
    </row>
    <row r="16" spans="1:14" x14ac:dyDescent="0.25">
      <c r="A16" s="1"/>
      <c r="B16" s="1" t="s">
        <v>21</v>
      </c>
      <c r="C16" s="16">
        <v>450</v>
      </c>
      <c r="D16" s="16">
        <v>500</v>
      </c>
      <c r="E16" s="16">
        <v>550</v>
      </c>
      <c r="F16" s="16">
        <v>500</v>
      </c>
      <c r="G16" s="16">
        <v>600</v>
      </c>
      <c r="H16" s="16">
        <v>550</v>
      </c>
      <c r="I16" s="16">
        <v>650</v>
      </c>
      <c r="J16" s="16">
        <v>600</v>
      </c>
      <c r="K16" s="16">
        <v>700</v>
      </c>
      <c r="L16" s="16">
        <v>650</v>
      </c>
      <c r="M16" s="1">
        <v>600</v>
      </c>
      <c r="N16" s="1">
        <v>650</v>
      </c>
    </row>
    <row r="17" spans="1:14" x14ac:dyDescent="0.25">
      <c r="A17" s="1" t="s">
        <v>3</v>
      </c>
      <c r="B17" s="1" t="s">
        <v>22</v>
      </c>
      <c r="C17" s="16">
        <v>700</v>
      </c>
      <c r="D17" s="16">
        <v>800</v>
      </c>
      <c r="E17" s="16">
        <v>900</v>
      </c>
      <c r="F17" s="15">
        <v>1000</v>
      </c>
      <c r="G17" s="15">
        <v>1100</v>
      </c>
      <c r="H17" s="15">
        <v>1200</v>
      </c>
      <c r="I17" s="15">
        <v>1300</v>
      </c>
      <c r="J17" s="15">
        <v>1400</v>
      </c>
      <c r="K17" s="15">
        <v>1500</v>
      </c>
      <c r="L17" s="15">
        <v>1600</v>
      </c>
      <c r="M17" s="1">
        <v>1600</v>
      </c>
      <c r="N17" s="1">
        <v>1300</v>
      </c>
    </row>
    <row r="18" spans="1:14" x14ac:dyDescent="0.25">
      <c r="A18" s="1"/>
      <c r="B18" s="1" t="s">
        <v>23</v>
      </c>
      <c r="C18" s="16">
        <v>250</v>
      </c>
      <c r="D18" s="16">
        <v>300</v>
      </c>
      <c r="E18" s="16">
        <v>350</v>
      </c>
      <c r="F18" s="16">
        <v>300</v>
      </c>
      <c r="G18" s="16">
        <v>450</v>
      </c>
      <c r="H18" s="16">
        <v>400</v>
      </c>
      <c r="I18" s="16">
        <v>550</v>
      </c>
      <c r="J18" s="16">
        <v>500</v>
      </c>
      <c r="K18" s="16">
        <v>650</v>
      </c>
      <c r="L18" s="16">
        <v>600</v>
      </c>
      <c r="M18" s="1">
        <v>490</v>
      </c>
      <c r="N18" s="1">
        <v>560</v>
      </c>
    </row>
    <row r="19" spans="1:14" x14ac:dyDescent="0.25">
      <c r="A19" s="1" t="s">
        <v>24</v>
      </c>
      <c r="B19" s="1" t="s">
        <v>25</v>
      </c>
      <c r="C19" s="16">
        <v>700</v>
      </c>
      <c r="D19" s="16">
        <v>700</v>
      </c>
      <c r="E19" s="16">
        <v>700</v>
      </c>
      <c r="F19" s="16">
        <v>700</v>
      </c>
      <c r="G19" s="16">
        <v>700</v>
      </c>
      <c r="H19" s="16">
        <v>700</v>
      </c>
      <c r="I19" s="16">
        <v>700</v>
      </c>
      <c r="J19" s="16">
        <v>700</v>
      </c>
      <c r="K19" s="16">
        <v>700</v>
      </c>
      <c r="L19" s="16">
        <v>700</v>
      </c>
      <c r="M19" s="16">
        <v>700</v>
      </c>
      <c r="N19" s="16">
        <v>700</v>
      </c>
    </row>
    <row r="20" spans="1:14" x14ac:dyDescent="0.25">
      <c r="A20" s="1"/>
      <c r="B20" s="1" t="s">
        <v>26</v>
      </c>
      <c r="C20" s="16">
        <v>180</v>
      </c>
      <c r="D20" s="16">
        <v>200</v>
      </c>
      <c r="E20" s="16">
        <v>220</v>
      </c>
      <c r="F20" s="16">
        <v>200</v>
      </c>
      <c r="G20" s="16">
        <v>240</v>
      </c>
      <c r="H20" s="16">
        <v>230</v>
      </c>
      <c r="I20" s="16">
        <v>260</v>
      </c>
      <c r="J20" s="16">
        <v>250</v>
      </c>
      <c r="K20" s="16">
        <v>280</v>
      </c>
      <c r="L20" s="16">
        <v>270</v>
      </c>
      <c r="M20" s="1">
        <v>290</v>
      </c>
      <c r="N20" s="1">
        <v>250</v>
      </c>
    </row>
    <row r="21" spans="1:14" x14ac:dyDescent="0.25">
      <c r="A21" s="1" t="s">
        <v>27</v>
      </c>
      <c r="B21" s="1" t="s">
        <v>28</v>
      </c>
      <c r="C21" s="16">
        <v>350</v>
      </c>
      <c r="D21" s="16">
        <v>400</v>
      </c>
      <c r="E21" s="16">
        <v>450</v>
      </c>
      <c r="F21" s="16">
        <v>500</v>
      </c>
      <c r="G21" s="16">
        <v>550</v>
      </c>
      <c r="H21" s="16">
        <v>600</v>
      </c>
      <c r="I21" s="16">
        <v>650</v>
      </c>
      <c r="J21" s="16">
        <v>700</v>
      </c>
      <c r="K21" s="16">
        <v>750</v>
      </c>
      <c r="L21" s="16">
        <v>800</v>
      </c>
      <c r="M21" s="1">
        <v>500</v>
      </c>
      <c r="N21" s="1">
        <v>300</v>
      </c>
    </row>
    <row r="22" spans="1:14" x14ac:dyDescent="0.25">
      <c r="B22" s="2" t="s">
        <v>29</v>
      </c>
      <c r="C22" s="3">
        <f>SUM(C11:C21)</f>
        <v>13730</v>
      </c>
      <c r="D22" s="3">
        <f t="shared" ref="D22:N22" si="1">SUM(D11:D21)</f>
        <v>14300</v>
      </c>
      <c r="E22" s="3">
        <f t="shared" si="1"/>
        <v>15000</v>
      </c>
      <c r="F22" s="3">
        <f t="shared" si="1"/>
        <v>14800</v>
      </c>
      <c r="G22" s="3">
        <f t="shared" si="1"/>
        <v>15990</v>
      </c>
      <c r="H22" s="3">
        <f t="shared" si="1"/>
        <v>15830</v>
      </c>
      <c r="I22" s="3">
        <f t="shared" si="1"/>
        <v>17210</v>
      </c>
      <c r="J22" s="3">
        <f t="shared" si="1"/>
        <v>16850</v>
      </c>
      <c r="K22" s="3">
        <f t="shared" si="1"/>
        <v>18230</v>
      </c>
      <c r="L22" s="3">
        <f t="shared" si="1"/>
        <v>17770</v>
      </c>
      <c r="M22" s="3">
        <f t="shared" si="1"/>
        <v>17730</v>
      </c>
      <c r="N22" s="3">
        <f t="shared" si="1"/>
        <v>17760</v>
      </c>
    </row>
  </sheetData>
  <mergeCells count="2">
    <mergeCell ref="A1:XFD1"/>
    <mergeCell ref="A2:XFD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CB33-7D59-4836-BB5C-E9F1BA5BEA6D}">
  <dimension ref="A1:F26"/>
  <sheetViews>
    <sheetView tabSelected="1" topLeftCell="A2" zoomScaleNormal="100" workbookViewId="0">
      <selection activeCell="F13" sqref="F13"/>
    </sheetView>
  </sheetViews>
  <sheetFormatPr defaultRowHeight="15" x14ac:dyDescent="0.25"/>
  <cols>
    <col min="1" max="1" width="16.7109375" customWidth="1"/>
    <col min="2" max="2" width="22" customWidth="1"/>
    <col min="3" max="3" width="13.140625" customWidth="1"/>
    <col min="4" max="4" width="11.140625" customWidth="1"/>
    <col min="5" max="5" width="11.7109375" customWidth="1"/>
    <col min="6" max="6" width="14.7109375" customWidth="1"/>
    <col min="7" max="7" width="11.28515625" customWidth="1"/>
    <col min="8" max="9" width="10.7109375" customWidth="1"/>
    <col min="10" max="10" width="11.140625" customWidth="1"/>
    <col min="11" max="11" width="12.28515625" customWidth="1"/>
    <col min="12" max="13" width="12.42578125" customWidth="1"/>
    <col min="14" max="14" width="12" customWidth="1"/>
  </cols>
  <sheetData>
    <row r="1" spans="1:6" s="8" customFormat="1" ht="24" customHeight="1" x14ac:dyDescent="0.3">
      <c r="A1" s="8" t="s">
        <v>49</v>
      </c>
    </row>
    <row r="2" spans="1:6" s="8" customFormat="1" ht="24.75" customHeight="1" x14ac:dyDescent="0.3">
      <c r="A2" s="8" t="s">
        <v>46</v>
      </c>
    </row>
    <row r="4" spans="1:6" x14ac:dyDescent="0.25">
      <c r="A4" s="6" t="s">
        <v>4</v>
      </c>
      <c r="B4" s="6" t="s">
        <v>6</v>
      </c>
      <c r="C4" s="6" t="s">
        <v>50</v>
      </c>
      <c r="D4" s="6" t="s">
        <v>51</v>
      </c>
      <c r="E4" s="14" t="s">
        <v>52</v>
      </c>
      <c r="F4" s="14" t="s">
        <v>7</v>
      </c>
    </row>
    <row r="5" spans="1:6" x14ac:dyDescent="0.25">
      <c r="A5" s="2" t="s">
        <v>8</v>
      </c>
      <c r="B5" s="1" t="s">
        <v>13</v>
      </c>
      <c r="C5" s="1">
        <f>SUM(Budget!C5:N5)</f>
        <v>183000</v>
      </c>
      <c r="D5" s="3">
        <f>SUM('Actuals '!C5:N5)</f>
        <v>202300</v>
      </c>
      <c r="E5" s="3">
        <f>D5-C5</f>
        <v>19300</v>
      </c>
      <c r="F5" s="17">
        <f>E5/C5</f>
        <v>0.10546448087431694</v>
      </c>
    </row>
    <row r="6" spans="1:6" x14ac:dyDescent="0.25">
      <c r="A6" s="1"/>
      <c r="B6" s="1" t="s">
        <v>14</v>
      </c>
      <c r="C6" s="1">
        <f>SUM(Budget!C6:N6)</f>
        <v>25400</v>
      </c>
      <c r="D6" s="3">
        <f>SUM('Actuals '!C6:N6)</f>
        <v>25600</v>
      </c>
      <c r="E6" s="3">
        <f t="shared" ref="E6:E9" si="0">D6-C6</f>
        <v>200</v>
      </c>
      <c r="F6" s="17">
        <f t="shared" ref="F6:F9" si="1">E6/C6</f>
        <v>7.874015748031496E-3</v>
      </c>
    </row>
    <row r="7" spans="1:6" x14ac:dyDescent="0.25">
      <c r="A7" s="1"/>
      <c r="B7" s="1" t="s">
        <v>2</v>
      </c>
      <c r="C7" s="1">
        <f>SUM(Budget!C7:N7)</f>
        <v>144000</v>
      </c>
      <c r="D7" s="3">
        <f>SUM('Actuals '!C7:N7)</f>
        <v>135100</v>
      </c>
      <c r="E7" s="3">
        <f t="shared" si="0"/>
        <v>-8900</v>
      </c>
      <c r="F7" s="17">
        <f t="shared" si="1"/>
        <v>-6.1805555555555558E-2</v>
      </c>
    </row>
    <row r="8" spans="1:6" x14ac:dyDescent="0.25">
      <c r="A8" s="1"/>
      <c r="B8" s="1" t="s">
        <v>9</v>
      </c>
      <c r="C8" s="1">
        <f>SUM(Budget!C8:N8)</f>
        <v>14450</v>
      </c>
      <c r="D8" s="3">
        <f>SUM('Actuals '!C8:N8)</f>
        <v>15500</v>
      </c>
      <c r="E8" s="3">
        <f t="shared" si="0"/>
        <v>1050</v>
      </c>
      <c r="F8" s="17">
        <f t="shared" si="1"/>
        <v>7.2664359861591699E-2</v>
      </c>
    </row>
    <row r="9" spans="1:6" x14ac:dyDescent="0.25">
      <c r="A9" s="1"/>
      <c r="B9" s="2" t="s">
        <v>10</v>
      </c>
      <c r="C9" s="1">
        <f>SUM(Budget!C9:N9)</f>
        <v>366850</v>
      </c>
      <c r="D9" s="3">
        <f>SUM('Actuals '!C9:N9)</f>
        <v>378500</v>
      </c>
      <c r="E9" s="3">
        <f t="shared" si="0"/>
        <v>11650</v>
      </c>
      <c r="F9" s="17">
        <f t="shared" si="1"/>
        <v>3.1756848848303119E-2</v>
      </c>
    </row>
    <row r="10" spans="1:6" x14ac:dyDescent="0.25">
      <c r="A10" s="2" t="s">
        <v>11</v>
      </c>
      <c r="B10" s="1"/>
      <c r="E10" s="3"/>
    </row>
    <row r="11" spans="1:6" x14ac:dyDescent="0.25">
      <c r="A11" s="1" t="s">
        <v>15</v>
      </c>
      <c r="B11" s="1" t="s">
        <v>16</v>
      </c>
      <c r="C11" s="1">
        <f>SUM(Budget!C11:N11)</f>
        <v>219000</v>
      </c>
      <c r="D11" s="3">
        <f>SUM('Actuals '!C11:N11)</f>
        <v>101900</v>
      </c>
      <c r="E11" s="3">
        <f>D11-C11</f>
        <v>-117100</v>
      </c>
      <c r="F11" s="17">
        <f>E11/C11</f>
        <v>-0.53470319634703201</v>
      </c>
    </row>
    <row r="12" spans="1:6" x14ac:dyDescent="0.25">
      <c r="A12" s="1"/>
      <c r="B12" s="1" t="s">
        <v>17</v>
      </c>
      <c r="C12" s="1">
        <f>SUM(Budget!C12:N12)</f>
        <v>26700</v>
      </c>
      <c r="D12" s="3">
        <f>SUM('Actuals '!C12:N12)</f>
        <v>9600</v>
      </c>
      <c r="E12" s="3">
        <f t="shared" ref="E12:E22" si="2">D12-C12</f>
        <v>-17100</v>
      </c>
      <c r="F12" s="17">
        <f t="shared" ref="F12:F21" si="3">E12/C12</f>
        <v>-0.6404494382022472</v>
      </c>
    </row>
    <row r="13" spans="1:6" x14ac:dyDescent="0.25">
      <c r="A13" s="1" t="s">
        <v>18</v>
      </c>
      <c r="B13" s="1" t="s">
        <v>12</v>
      </c>
      <c r="C13" s="1">
        <f>SUM(Budget!C13:N13)</f>
        <v>50000</v>
      </c>
      <c r="D13" s="3">
        <f>SUM('Actuals '!C13:N13)</f>
        <v>24000</v>
      </c>
      <c r="E13" s="3">
        <f t="shared" si="2"/>
        <v>-26000</v>
      </c>
      <c r="F13" s="17">
        <f t="shared" si="3"/>
        <v>-0.52</v>
      </c>
    </row>
    <row r="14" spans="1:6" x14ac:dyDescent="0.25">
      <c r="A14" s="1"/>
      <c r="B14" s="1" t="s">
        <v>5</v>
      </c>
      <c r="C14" s="1">
        <f>SUM(Budget!C14:N14)</f>
        <v>14550</v>
      </c>
      <c r="D14" s="3">
        <f>SUM('Actuals '!C14:N14)</f>
        <v>6780</v>
      </c>
      <c r="E14" s="3">
        <f t="shared" si="2"/>
        <v>-7770</v>
      </c>
      <c r="F14" s="17">
        <f t="shared" si="3"/>
        <v>-0.53402061855670102</v>
      </c>
    </row>
    <row r="15" spans="1:6" x14ac:dyDescent="0.25">
      <c r="A15" s="1" t="s">
        <v>19</v>
      </c>
      <c r="B15" s="1" t="s">
        <v>20</v>
      </c>
      <c r="C15" s="1">
        <f>SUM(Budget!C15:N15)</f>
        <v>20690</v>
      </c>
      <c r="D15" s="3">
        <f>SUM('Actuals '!C15:N15)</f>
        <v>8300</v>
      </c>
      <c r="E15" s="3">
        <f t="shared" si="2"/>
        <v>-12390</v>
      </c>
      <c r="F15" s="17">
        <f t="shared" si="3"/>
        <v>-0.59884001933301112</v>
      </c>
    </row>
    <row r="16" spans="1:6" x14ac:dyDescent="0.25">
      <c r="A16" s="1"/>
      <c r="B16" s="1" t="s">
        <v>21</v>
      </c>
      <c r="C16" s="1">
        <f>SUM(Budget!C16:N16)</f>
        <v>66900</v>
      </c>
      <c r="D16" s="3">
        <f>SUM('Actuals '!C16:N16)</f>
        <v>7000</v>
      </c>
      <c r="E16" s="3">
        <f t="shared" si="2"/>
        <v>-59900</v>
      </c>
      <c r="F16" s="17">
        <f t="shared" si="3"/>
        <v>-0.89536621823617335</v>
      </c>
    </row>
    <row r="17" spans="1:6" x14ac:dyDescent="0.25">
      <c r="A17" s="1" t="s">
        <v>3</v>
      </c>
      <c r="B17" s="1" t="s">
        <v>22</v>
      </c>
      <c r="C17" s="1">
        <f>SUM(Budget!C17:N17)</f>
        <v>25000</v>
      </c>
      <c r="D17" s="3">
        <f>SUM('Actuals '!C17:N17)</f>
        <v>14400</v>
      </c>
      <c r="E17" s="3">
        <f t="shared" si="2"/>
        <v>-10600</v>
      </c>
      <c r="F17" s="17">
        <f t="shared" si="3"/>
        <v>-0.42399999999999999</v>
      </c>
    </row>
    <row r="18" spans="1:6" x14ac:dyDescent="0.25">
      <c r="A18" s="1"/>
      <c r="B18" s="1" t="s">
        <v>23</v>
      </c>
      <c r="C18" s="1">
        <f>SUM(Budget!C18:N18)</f>
        <v>53000</v>
      </c>
      <c r="D18" s="3">
        <f>SUM('Actuals '!C18:N18)</f>
        <v>5400</v>
      </c>
      <c r="E18" s="3">
        <f t="shared" si="2"/>
        <v>-47600</v>
      </c>
      <c r="F18" s="17">
        <f t="shared" si="3"/>
        <v>-0.89811320754716983</v>
      </c>
    </row>
    <row r="19" spans="1:6" x14ac:dyDescent="0.25">
      <c r="A19" s="1" t="s">
        <v>24</v>
      </c>
      <c r="B19" s="1" t="s">
        <v>25</v>
      </c>
      <c r="C19" s="1">
        <f>SUM(Budget!C19:N19)</f>
        <v>84000</v>
      </c>
      <c r="D19" s="3">
        <f>SUM('Actuals '!C19:N19)</f>
        <v>8400</v>
      </c>
      <c r="E19" s="3">
        <f t="shared" si="2"/>
        <v>-75600</v>
      </c>
      <c r="F19" s="17">
        <f t="shared" si="3"/>
        <v>-0.9</v>
      </c>
    </row>
    <row r="20" spans="1:6" x14ac:dyDescent="0.25">
      <c r="A20" s="1"/>
      <c r="B20" s="1" t="s">
        <v>26</v>
      </c>
      <c r="C20" s="1">
        <f>SUM(Budget!C20:N20)</f>
        <v>28700</v>
      </c>
      <c r="D20" s="3">
        <f>SUM('Actuals '!C20:N20)</f>
        <v>2870</v>
      </c>
      <c r="E20" s="3">
        <f t="shared" si="2"/>
        <v>-25830</v>
      </c>
      <c r="F20" s="17">
        <f t="shared" si="3"/>
        <v>-0.9</v>
      </c>
    </row>
    <row r="21" spans="1:6" x14ac:dyDescent="0.25">
      <c r="A21" s="1" t="s">
        <v>27</v>
      </c>
      <c r="B21" s="1" t="s">
        <v>28</v>
      </c>
      <c r="C21" s="1">
        <f>SUM(Budget!C21:N21)</f>
        <v>60000</v>
      </c>
      <c r="D21" s="3">
        <f>SUM('Actuals '!C21:N21)</f>
        <v>6550</v>
      </c>
      <c r="E21" s="3">
        <f t="shared" si="2"/>
        <v>-53450</v>
      </c>
      <c r="F21" s="17">
        <f t="shared" si="3"/>
        <v>-0.89083333333333337</v>
      </c>
    </row>
    <row r="22" spans="1:6" x14ac:dyDescent="0.25">
      <c r="B22" s="2" t="s">
        <v>29</v>
      </c>
      <c r="C22" s="1">
        <f>SUM(Budget!C22:N22)</f>
        <v>648540</v>
      </c>
      <c r="D22" s="3">
        <f>SUM('Actuals '!C22:N22)</f>
        <v>195200</v>
      </c>
      <c r="E22" s="3">
        <f t="shared" si="2"/>
        <v>-453340</v>
      </c>
      <c r="F22" s="17">
        <f>E22/C22</f>
        <v>-0.69901625188885808</v>
      </c>
    </row>
    <row r="24" spans="1:6" x14ac:dyDescent="0.25">
      <c r="A24" s="18" t="s">
        <v>59</v>
      </c>
      <c r="B24" s="18"/>
    </row>
    <row r="25" spans="1:6" x14ac:dyDescent="0.25">
      <c r="A25" s="18" t="s">
        <v>57</v>
      </c>
      <c r="B25" s="18"/>
    </row>
    <row r="26" spans="1:6" x14ac:dyDescent="0.25">
      <c r="A26" s="18" t="s">
        <v>58</v>
      </c>
      <c r="B26" s="18"/>
    </row>
  </sheetData>
  <mergeCells count="2">
    <mergeCell ref="A1:XFD1"/>
    <mergeCell ref="A2:XFD2"/>
  </mergeCells>
  <phoneticPr fontId="6" type="noConversion"/>
  <conditionalFormatting sqref="I11">
    <cfRule type="cellIs" dxfId="5" priority="16" operator="greaterThan">
      <formula>0</formula>
    </cfRule>
  </conditionalFormatting>
  <conditionalFormatting sqref="F5:F22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M15">
    <cfRule type="iconSet" priority="11">
      <iconSet>
        <cfvo type="percent" val="0"/>
        <cfvo type="percent" val="33"/>
        <cfvo type="percent" val="67"/>
      </iconSet>
    </cfRule>
  </conditionalFormatting>
  <conditionalFormatting sqref="B24:B25">
    <cfRule type="iconSet" priority="10">
      <iconSet>
        <cfvo type="percent" val="0"/>
        <cfvo type="percent" val="33"/>
        <cfvo type="percent" val="67"/>
      </iconSet>
    </cfRule>
  </conditionalFormatting>
  <conditionalFormatting sqref="B24:B27">
    <cfRule type="iconSet" priority="9">
      <iconSet showValue="0">
        <cfvo type="percent" val="0"/>
        <cfvo type="percent" val="33"/>
        <cfvo type="percent" val="67"/>
      </iconSet>
    </cfRule>
  </conditionalFormatting>
  <conditionalFormatting sqref="F23">
    <cfRule type="iconSet" priority="5">
      <iconSet iconSet="3Symbols2" showValue="0">
        <cfvo type="percent" val="0"/>
        <cfvo type="percent" val="33"/>
        <cfvo type="percent" val="67"/>
      </iconSet>
    </cfRule>
  </conditionalFormatting>
  <conditionalFormatting sqref="A27:A28">
    <cfRule type="iconSet" priority="2">
      <iconSet showValue="0">
        <cfvo type="percent" val="0"/>
        <cfvo type="percent" val="0"/>
        <cfvo type="percent" val="0"/>
      </iconSet>
    </cfRule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A27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AAF4-8809-44D3-80DB-61BF7C8E9F20}">
  <dimension ref="A1:E14"/>
  <sheetViews>
    <sheetView topLeftCell="A2" workbookViewId="0">
      <selection activeCell="D11" sqref="D11"/>
    </sheetView>
  </sheetViews>
  <sheetFormatPr defaultRowHeight="15" x14ac:dyDescent="0.25"/>
  <cols>
    <col min="1" max="1" width="14" bestFit="1" customWidth="1"/>
    <col min="2" max="2" width="12.85546875" bestFit="1" customWidth="1"/>
    <col min="3" max="3" width="14.85546875" bestFit="1" customWidth="1"/>
    <col min="4" max="4" width="17" bestFit="1" customWidth="1"/>
    <col min="5" max="5" width="17.7109375" bestFit="1" customWidth="1"/>
  </cols>
  <sheetData>
    <row r="1" spans="1:5" s="8" customFormat="1" ht="24" customHeight="1" x14ac:dyDescent="0.3">
      <c r="A1" s="8" t="s">
        <v>56</v>
      </c>
    </row>
    <row r="2" spans="1:5" s="8" customFormat="1" ht="24.75" customHeight="1" x14ac:dyDescent="0.3">
      <c r="A2" s="8" t="s">
        <v>46</v>
      </c>
    </row>
    <row r="3" spans="1:5" s="1" customFormat="1" x14ac:dyDescent="0.25"/>
    <row r="4" spans="1:5" x14ac:dyDescent="0.25">
      <c r="A4" s="11" t="s">
        <v>30</v>
      </c>
      <c r="B4" t="s">
        <v>53</v>
      </c>
      <c r="C4" t="s">
        <v>54</v>
      </c>
      <c r="D4" t="s">
        <v>55</v>
      </c>
      <c r="E4" t="s">
        <v>33</v>
      </c>
    </row>
    <row r="5" spans="1:5" x14ac:dyDescent="0.25">
      <c r="A5" s="12" t="s">
        <v>8</v>
      </c>
      <c r="B5" s="13">
        <v>183000</v>
      </c>
      <c r="C5" s="13">
        <v>202300</v>
      </c>
      <c r="D5" s="13">
        <v>-19300</v>
      </c>
      <c r="E5" s="13">
        <v>-0.10546448087431694</v>
      </c>
    </row>
    <row r="6" spans="1:5" x14ac:dyDescent="0.25">
      <c r="A6" s="12" t="s">
        <v>11</v>
      </c>
      <c r="B6" s="13"/>
      <c r="C6" s="13"/>
      <c r="D6" s="13"/>
      <c r="E6" s="13"/>
    </row>
    <row r="7" spans="1:5" x14ac:dyDescent="0.25">
      <c r="A7" s="12" t="s">
        <v>24</v>
      </c>
      <c r="B7" s="13">
        <v>84000</v>
      </c>
      <c r="C7" s="13">
        <v>8400</v>
      </c>
      <c r="D7" s="13">
        <v>75600</v>
      </c>
      <c r="E7" s="13">
        <v>0.9</v>
      </c>
    </row>
    <row r="8" spans="1:5" x14ac:dyDescent="0.25">
      <c r="A8" s="12" t="s">
        <v>27</v>
      </c>
      <c r="B8" s="13">
        <v>60000</v>
      </c>
      <c r="C8" s="13">
        <v>6550</v>
      </c>
      <c r="D8" s="13">
        <v>53450</v>
      </c>
      <c r="E8" s="13">
        <v>0.89083333333333337</v>
      </c>
    </row>
    <row r="9" spans="1:5" x14ac:dyDescent="0.25">
      <c r="A9" s="12" t="s">
        <v>18</v>
      </c>
      <c r="B9" s="13">
        <v>50000</v>
      </c>
      <c r="C9" s="13">
        <v>24000</v>
      </c>
      <c r="D9" s="13">
        <v>26000</v>
      </c>
      <c r="E9" s="13">
        <v>0.52</v>
      </c>
    </row>
    <row r="10" spans="1:5" x14ac:dyDescent="0.25">
      <c r="A10" s="12" t="s">
        <v>3</v>
      </c>
      <c r="B10" s="13">
        <v>25000</v>
      </c>
      <c r="C10" s="13">
        <v>14400</v>
      </c>
      <c r="D10" s="13">
        <v>10600</v>
      </c>
      <c r="E10" s="13">
        <v>0.42399999999999999</v>
      </c>
    </row>
    <row r="11" spans="1:5" x14ac:dyDescent="0.25">
      <c r="A11" s="12" t="s">
        <v>15</v>
      </c>
      <c r="B11" s="13">
        <v>219000</v>
      </c>
      <c r="C11" s="13">
        <v>101900</v>
      </c>
      <c r="D11" s="13">
        <v>117100</v>
      </c>
      <c r="E11" s="13">
        <v>0.53470319634703201</v>
      </c>
    </row>
    <row r="12" spans="1:5" x14ac:dyDescent="0.25">
      <c r="A12" s="12" t="s">
        <v>19</v>
      </c>
      <c r="B12" s="13">
        <v>20690</v>
      </c>
      <c r="C12" s="13">
        <v>8300</v>
      </c>
      <c r="D12" s="13">
        <v>12390</v>
      </c>
      <c r="E12" s="13">
        <v>0.59884001933301112</v>
      </c>
    </row>
    <row r="13" spans="1:5" x14ac:dyDescent="0.25">
      <c r="A13" s="12" t="s">
        <v>31</v>
      </c>
      <c r="B13" s="13">
        <v>1389090</v>
      </c>
      <c r="C13" s="13">
        <v>781550</v>
      </c>
      <c r="D13" s="13">
        <v>607540</v>
      </c>
      <c r="E13" s="13">
        <v>4.5164760655287788</v>
      </c>
    </row>
    <row r="14" spans="1:5" x14ac:dyDescent="0.25">
      <c r="A14" s="12" t="s">
        <v>32</v>
      </c>
      <c r="B14" s="13">
        <v>2030780</v>
      </c>
      <c r="C14" s="13">
        <v>1147400</v>
      </c>
      <c r="D14" s="13">
        <v>883380</v>
      </c>
      <c r="E14" s="13">
        <v>8.2793881336678385</v>
      </c>
    </row>
  </sheetData>
  <mergeCells count="2">
    <mergeCell ref="A1:XFD1"/>
    <mergeCell ref="A2:XFD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1861-29C3-45CF-A790-3BE98ACAACBF}">
  <dimension ref="A1:F11"/>
  <sheetViews>
    <sheetView workbookViewId="0">
      <selection activeCell="F7" sqref="F7"/>
    </sheetView>
  </sheetViews>
  <sheetFormatPr defaultRowHeight="15" x14ac:dyDescent="0.25"/>
  <cols>
    <col min="1" max="1" width="13" customWidth="1"/>
    <col min="2" max="2" width="13.42578125" customWidth="1"/>
    <col min="3" max="4" width="13.7109375" customWidth="1"/>
    <col min="5" max="5" width="17.5703125" customWidth="1"/>
  </cols>
  <sheetData>
    <row r="1" spans="1:6" ht="18.75" x14ac:dyDescent="0.3">
      <c r="A1" s="21" t="s">
        <v>89</v>
      </c>
      <c r="B1" s="21"/>
    </row>
    <row r="3" spans="1:6" ht="25.5" customHeight="1" x14ac:dyDescent="0.25">
      <c r="A3" s="20" t="s">
        <v>60</v>
      </c>
      <c r="B3" s="20" t="s">
        <v>61</v>
      </c>
      <c r="C3" s="20" t="s">
        <v>0</v>
      </c>
      <c r="D3" s="20" t="s">
        <v>62</v>
      </c>
      <c r="E3" s="20" t="s">
        <v>63</v>
      </c>
      <c r="F3" s="5"/>
    </row>
    <row r="4" spans="1:6" ht="18" customHeight="1" x14ac:dyDescent="0.25">
      <c r="A4" s="10" t="s">
        <v>64</v>
      </c>
      <c r="B4" s="10" t="s">
        <v>65</v>
      </c>
      <c r="C4" s="10" t="s">
        <v>24</v>
      </c>
      <c r="D4" s="10" t="s">
        <v>66</v>
      </c>
      <c r="E4" s="19">
        <v>4500</v>
      </c>
      <c r="F4" s="5"/>
    </row>
    <row r="5" spans="1:6" x14ac:dyDescent="0.25">
      <c r="A5" s="10" t="s">
        <v>67</v>
      </c>
      <c r="B5" s="10" t="s">
        <v>68</v>
      </c>
      <c r="C5" s="10" t="s">
        <v>69</v>
      </c>
      <c r="D5" s="10" t="s">
        <v>70</v>
      </c>
      <c r="E5" s="19">
        <v>6000</v>
      </c>
      <c r="F5" s="5"/>
    </row>
    <row r="6" spans="1:6" ht="15.75" customHeight="1" x14ac:dyDescent="0.25">
      <c r="A6" s="10" t="s">
        <v>71</v>
      </c>
      <c r="B6" s="10" t="s">
        <v>72</v>
      </c>
      <c r="C6" s="10" t="s">
        <v>73</v>
      </c>
      <c r="D6" s="10" t="s">
        <v>74</v>
      </c>
      <c r="E6" s="19">
        <v>5800</v>
      </c>
      <c r="F6" s="5"/>
    </row>
    <row r="7" spans="1:6" ht="15" customHeight="1" x14ac:dyDescent="0.25">
      <c r="A7" s="10" t="s">
        <v>75</v>
      </c>
      <c r="B7" s="10" t="s">
        <v>76</v>
      </c>
      <c r="C7" s="10" t="s">
        <v>2</v>
      </c>
      <c r="D7" s="10" t="s">
        <v>77</v>
      </c>
      <c r="E7" s="19">
        <v>4200</v>
      </c>
      <c r="F7" s="5"/>
    </row>
    <row r="8" spans="1:6" ht="15" customHeight="1" x14ac:dyDescent="0.25">
      <c r="A8" s="10" t="s">
        <v>78</v>
      </c>
      <c r="B8" s="10" t="s">
        <v>79</v>
      </c>
      <c r="C8" s="10" t="s">
        <v>3</v>
      </c>
      <c r="D8" s="10" t="s">
        <v>80</v>
      </c>
      <c r="E8" s="19">
        <v>4000</v>
      </c>
      <c r="F8" s="5"/>
    </row>
    <row r="9" spans="1:6" ht="15" customHeight="1" x14ac:dyDescent="0.25">
      <c r="A9" s="10" t="s">
        <v>81</v>
      </c>
      <c r="B9" s="10" t="s">
        <v>82</v>
      </c>
      <c r="C9" s="10" t="s">
        <v>73</v>
      </c>
      <c r="D9" s="10" t="s">
        <v>83</v>
      </c>
      <c r="E9" s="19">
        <v>3800</v>
      </c>
      <c r="F9" s="5"/>
    </row>
    <row r="10" spans="1:6" ht="15" customHeight="1" x14ac:dyDescent="0.25">
      <c r="A10" s="10" t="s">
        <v>84</v>
      </c>
      <c r="B10" s="10" t="s">
        <v>85</v>
      </c>
      <c r="C10" s="10" t="s">
        <v>24</v>
      </c>
      <c r="D10" s="10" t="s">
        <v>86</v>
      </c>
      <c r="E10" s="19">
        <v>7000</v>
      </c>
      <c r="F10" s="5"/>
    </row>
    <row r="11" spans="1:6" ht="14.25" customHeight="1" x14ac:dyDescent="0.25">
      <c r="A11" s="10" t="s">
        <v>87</v>
      </c>
      <c r="B11" s="10" t="s">
        <v>88</v>
      </c>
      <c r="C11" s="10" t="s">
        <v>2</v>
      </c>
      <c r="D11" s="10" t="s">
        <v>70</v>
      </c>
      <c r="E11" s="19">
        <v>6500</v>
      </c>
      <c r="F11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Actuals </vt:lpstr>
      <vt:lpstr>Budget VS Actuals</vt:lpstr>
      <vt:lpstr>Dashboard</vt:lpstr>
      <vt:lpstr>Basic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Goud Nakka</dc:creator>
  <cp:lastModifiedBy>Monica Goud Nakka</cp:lastModifiedBy>
  <dcterms:created xsi:type="dcterms:W3CDTF">2026-04-21T17:04:26Z</dcterms:created>
  <dcterms:modified xsi:type="dcterms:W3CDTF">2026-04-23T17:16:02Z</dcterms:modified>
</cp:coreProperties>
</file>